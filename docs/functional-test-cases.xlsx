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xiaoshangfei/SourceCode/Personal/path-seeker-ui/docs/"/>
    </mc:Choice>
  </mc:AlternateContent>
  <xr:revisionPtr revIDLastSave="0" documentId="8_{4AD6B3AB-DDA1-824F-BB4E-5BD7C5CE5827}" xr6:coauthVersionLast="47" xr6:coauthVersionMax="47" xr10:uidLastSave="{00000000-0000-0000-0000-000000000000}"/>
  <bookViews>
    <workbookView xWindow="0" yWindow="780" windowWidth="36000" windowHeight="21540" activeTab="2" xr2:uid="{00000000-000D-0000-FFFF-FFFF00000000}"/>
  </bookViews>
  <sheets>
    <sheet name="说明" sheetId="1" r:id="rId1"/>
    <sheet name="测试前置" sheetId="2" r:id="rId2"/>
    <sheet name="测试用例" sheetId="3" r:id="rId3"/>
    <sheet name="Smoke冒烟" sheetId="4" r:id="rId4"/>
    <sheet name="缺陷记录" sheetId="5" r:id="rId5"/>
    <sheet name="已知策略" sheetId="6" r:id="rId6"/>
    <sheet name="测试节奏" sheetId="7" r:id="rId7"/>
    <sheet name="测试结论" sheetId="8" r:id="rId8"/>
  </sheets>
  <definedNames>
    <definedName name="_xlnm._FilterDatabase" localSheetId="2" hidden="1">测试用例!$A$1:$O$209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8" l="1"/>
  <c r="B14" i="8"/>
  <c r="B13" i="8"/>
  <c r="B12" i="8"/>
  <c r="B11" i="8"/>
  <c r="B10" i="8"/>
</calcChain>
</file>

<file path=xl/sharedStrings.xml><?xml version="1.0" encoding="utf-8"?>
<sst xmlns="http://schemas.openxmlformats.org/spreadsheetml/2006/main" count="3122" uniqueCount="1180">
  <si>
    <t>秘径寻踪 · 功能性测试用例</t>
  </si>
  <si>
    <t>来源：docs/functional-test-checklist.md</t>
  </si>
  <si>
    <t>适用范围：apps/h5-client（主）、apps/web-admin（配套）</t>
  </si>
  <si>
    <t>原则：以用户可感知结果验收；真数据优先；禁止用 mock 假任务代替主链路。</t>
  </si>
  <si>
    <t>工作表说明</t>
  </si>
  <si>
    <t>工作表</t>
  </si>
  <si>
    <t>用途</t>
  </si>
  <si>
    <t>测试前置</t>
  </si>
  <si>
    <t>每次测试必填的环境、账号、路线 ID</t>
  </si>
  <si>
    <t>测试用例</t>
  </si>
  <si>
    <t>全量功能用例（步骤、期望、优先级、执行结果）</t>
  </si>
  <si>
    <t>Smoke冒烟</t>
  </si>
  <si>
    <t>发版前最小集，约 30~45 分钟</t>
  </si>
  <si>
    <t>缺陷记录</t>
  </si>
  <si>
    <t>执行中发现缺陷时填写</t>
  </si>
  <si>
    <t>已知策略</t>
  </si>
  <si>
    <t>当前阶段明确策略，勿当缺陷误报</t>
  </si>
  <si>
    <t>测试节奏</t>
  </si>
  <si>
    <t>不同场景建议执行范围</t>
  </si>
  <si>
    <t>测试结论</t>
  </si>
  <si>
    <t>本次测试汇总签字页</t>
  </si>
  <si>
    <t>严重度建议</t>
  </si>
  <si>
    <t>P0</t>
  </si>
  <si>
    <t>主链路卡死、无法登录、无法通关、数据丢失</t>
  </si>
  <si>
    <t>P1</t>
  </si>
  <si>
    <t>关键路径错误、进度错误、题型无法提交、Ask 不可用</t>
  </si>
  <si>
    <t>P2</t>
  </si>
  <si>
    <t>文案/样式/动效、非阻塞体验问题</t>
  </si>
  <si>
    <t>结果填写约定</t>
  </si>
  <si>
    <t>通过 / 失败 / 阻塞 / 跳过 / 未测（下拉选择）</t>
  </si>
  <si>
    <t>主链路对照</t>
  </si>
  <si>
    <t>登录 Auth → 展厅 hall → 路线 map → type11 narration 或 type1~10 brief(locate→video→puzzle/Submit) → result → map 循环 → finale → archive；配套 Ask SSE</t>
  </si>
  <si>
    <t>测试前置信息（每次必填）</t>
  </si>
  <si>
    <t>项</t>
  </si>
  <si>
    <t>填写内容</t>
  </si>
  <si>
    <t>备注</t>
  </si>
  <si>
    <t>日期</t>
  </si>
  <si>
    <t>YYYY-MM-DD</t>
  </si>
  <si>
    <t>测试人</t>
  </si>
  <si>
    <t>前端 commit / 分支</t>
  </si>
  <si>
    <t>main @ e753797</t>
  </si>
  <si>
    <t>git rev-parse --short HEAD</t>
  </si>
  <si>
    <t>后端环境（联调 / 预发 / 生产）</t>
  </si>
  <si>
    <t>https://www.bigorange.site/path-seeker/api/</t>
  </si>
  <si>
    <t>三选一</t>
  </si>
  <si>
    <t>后端版本或部署时间</t>
  </si>
  <si>
    <t>H5 访问地址</t>
  </si>
  <si>
    <t>https://www.bigorange.site/path-seeker/client/</t>
  </si>
  <si>
    <t>后台访问地址</t>
  </si>
  <si>
    <t>https://www.bigorange.site/path-seeker/admin/</t>
  </si>
  <si>
    <t>测试账号（游客 / 正式）</t>
  </si>
  <si>
    <t>游客；testuser0726/test123456；admin/admin123456；douzong/admin123456</t>
  </si>
  <si>
    <t>后台管理员账号</t>
  </si>
  <si>
    <t>admin（见 accounts）</t>
  </si>
  <si>
    <t>例：admin</t>
  </si>
  <si>
    <t>后台导游账号</t>
  </si>
  <si>
    <t>douzong（见 accounts）</t>
  </si>
  <si>
    <t>例：douzong（CREATOR）</t>
  </si>
  <si>
    <t>测试路线 ID 列表</t>
  </si>
  <si>
    <t>瓷器 2080972944426799104（type11/6/1）；宋朝文物巡礼04450；青铜 type11 多条；产品已无 type5/type10 测试项</t>
  </si>
  <si>
    <t>type1/6/11 各至少 1 条</t>
  </si>
  <si>
    <t>建议准备的测试路线</t>
  </si>
  <si>
    <t>interactionType</t>
  </si>
  <si>
    <t>路线 ID</t>
  </si>
  <si>
    <t>1 Answer</t>
  </si>
  <si>
    <t>选择主路径</t>
  </si>
  <si>
    <t>6 Jigsaw</t>
  </si>
  <si>
    <t>拼图主路径</t>
  </si>
  <si>
    <t>11 解说</t>
  </si>
  <si>
    <t>独立解说页，无扫一扫/播片</t>
  </si>
  <si>
    <t>2/3/4/7/8/9（可选）</t>
  </si>
  <si>
    <t>扩展题型抽检</t>
  </si>
  <si>
    <t>产品已无 type5/type10 测试项</t>
  </si>
  <si>
    <t>多站混合路线</t>
  </si>
  <si>
    <t>闸门循环 + 终局</t>
  </si>
  <si>
    <t>用例编号</t>
  </si>
  <si>
    <t>模块</t>
  </si>
  <si>
    <t>子模块</t>
  </si>
  <si>
    <t>用例标题</t>
  </si>
  <si>
    <t>优先级</t>
  </si>
  <si>
    <t>用例类型</t>
  </si>
  <si>
    <t>前置条件</t>
  </si>
  <si>
    <t>测试步骤</t>
  </si>
  <si>
    <t>预期结果</t>
  </si>
  <si>
    <t>执行结果</t>
  </si>
  <si>
    <t>实际结果</t>
  </si>
  <si>
    <t>缺陷ID</t>
  </si>
  <si>
    <t>测试日期</t>
  </si>
  <si>
    <t>1.1.1</t>
  </si>
  <si>
    <t>H5 · 鉴权与会话</t>
  </si>
  <si>
    <t>登录门（`/auth`）</t>
  </si>
  <si>
    <t>未登录访问 `/shell/hall`</t>
  </si>
  <si>
    <t>功能</t>
  </si>
  <si>
    <t>H5 可访问；准备合法/非法账号；可清除登录态。</t>
  </si>
  <si>
    <t>跳转登录页，不白屏</t>
  </si>
  <si>
    <t>1.1.2</t>
  </si>
  <si>
    <t>游客登录</t>
  </si>
  <si>
    <t>进入展厅，有可用会话</t>
  </si>
  <si>
    <t>1.1.3</t>
  </si>
  <si>
    <t>账号密码登录（合法）</t>
  </si>
  <si>
    <t>进入展厅</t>
  </si>
  <si>
    <t>1.1.4</t>
  </si>
  <si>
    <t>账号密码登录（错误）</t>
  </si>
  <si>
    <t>明确错误提示，不进入</t>
  </si>
  <si>
    <t>1.1.5</t>
  </si>
  <si>
    <t>注册新账号（若开放）</t>
  </si>
  <si>
    <t>注册成功并可登录</t>
  </si>
  <si>
    <t>通过</t>
  </si>
  <si>
    <t>注册 testuser0726 成功并进入展厅（昵称测0726）</t>
  </si>
  <si>
    <t>清单增量（相对 e753797，待实跑）</t>
  </si>
  <si>
    <t>2026-07-29</t>
  </si>
  <si>
    <t>1.1.6</t>
  </si>
  <si>
    <t>刷新页面</t>
  </si>
  <si>
    <t>登录态保持（token 有效期内）</t>
  </si>
  <si>
    <t>1.1.7</t>
  </si>
  <si>
    <t>token 过期 / 被踢</t>
  </si>
  <si>
    <t>引导重新登录，不无限 loading</t>
  </si>
  <si>
    <t>跳过</t>
  </si>
  <si>
    <t>本轮未制造 token 过期</t>
  </si>
  <si>
    <t>1.1.8</t>
  </si>
  <si>
    <t>登录页视觉</t>
  </si>
  <si>
    <t>印章门气质正常，无明显错位</t>
  </si>
  <si>
    <t>1.2.1</t>
  </si>
  <si>
    <t>会话边界</t>
  </si>
  <si>
    <t>深链打开某章节 brief，且本地无会话</t>
  </si>
  <si>
    <t>**回 map**，不隐式 Join</t>
  </si>
  <si>
    <t>未登录深链 brief→auth；登录后落到 map，未隐式闯关</t>
  </si>
  <si>
    <t>1.2.2</t>
  </si>
  <si>
    <t>仅在 map 点「开始探索 / 接着玩」</t>
  </si>
  <si>
    <t>才会 Join / 建立会话</t>
  </si>
  <si>
    <t>需在 map 点进入本站才建立可玩会话</t>
  </si>
  <si>
    <t>1.2.3</t>
  </si>
  <si>
    <t>退出后重新登录</t>
  </si>
  <si>
    <t>不串用上一账号进度</t>
  </si>
  <si>
    <t>2.1.1</t>
  </si>
  <si>
    <t>H5 · Shell 三页与导航</t>
  </si>
  <si>
    <t>展厅（`/shell/hall`）</t>
  </si>
  <si>
    <t>已按「测试前置」准备好环境、账号与对应 interactionType 测试路线；真数据，禁止 mock 主链路。</t>
  </si>
  <si>
    <t>展示已发布路线列表（非草稿）</t>
  </si>
  <si>
    <t>2.1.2</t>
  </si>
  <si>
    <t>列表加载中</t>
  </si>
  <si>
    <t>有骨架/loading，不闪空</t>
  </si>
  <si>
    <t>2.1.3</t>
  </si>
  <si>
    <t>列表为空</t>
  </si>
  <si>
    <t>有空态文案</t>
  </si>
  <si>
    <t>2.1.4</t>
  </si>
  <si>
    <t>底部筛选：标题关键词 / 导游名</t>
  </si>
  <si>
    <t>结果正确；可重置清空；不再依赖难度/规模筛选项</t>
  </si>
  <si>
    <t>2.1.5</t>
  </si>
  <si>
    <t>点击路线卡片</t>
  </si>
  <si>
    <t>进入 map 预览（封面/meta/站 pill）</t>
  </si>
  <si>
    <t>2.1.6</t>
  </si>
  <si>
    <t>接口失败</t>
  </si>
  <si>
    <t>有错误提示，可重试</t>
  </si>
  <si>
    <t>本轮未制造列表接口失败</t>
  </si>
  <si>
    <t>2.1.7</t>
  </si>
  <si>
    <t>路线有导游数据</t>
  </si>
  <si>
    <t>卡片展示 **导游名** 与标签（有则显示，无则不强制）</t>
  </si>
  <si>
    <t>2.2.1</t>
  </si>
  <si>
    <t>探索（`/shell/playing`）</t>
  </si>
  <si>
    <t>有进行中会话</t>
  </si>
  <si>
    <t>显示时间线 / 继续入口</t>
  </si>
  <si>
    <t>探索页展示进行中瓷器线 1/9</t>
  </si>
  <si>
    <t>2.2.2</t>
  </si>
  <si>
    <t>点继续</t>
  </si>
  <si>
    <t>回到对应 map 或当前进度</t>
  </si>
  <si>
    <t>点进行中卡片回到 map，进度保留</t>
  </si>
  <si>
    <t>2.2.3</t>
  </si>
  <si>
    <t>清空本地会话（若有）</t>
  </si>
  <si>
    <t>会话清除，探索页状态更新</t>
  </si>
  <si>
    <t>产品无「清空本地会话」入口；清 localStorage 后探索仍显示服务端进行中</t>
  </si>
  <si>
    <t>进度以服务端为准</t>
  </si>
  <si>
    <t>2.2.4</t>
  </si>
  <si>
    <t>无进行中任务</t>
  </si>
  <si>
    <t>空态合理</t>
  </si>
  <si>
    <t>新游客无会话时探索页可打开（空/有会话均合理）</t>
  </si>
  <si>
    <t>本轮有会话时已验有数据态</t>
  </si>
  <si>
    <t>2.2.5</t>
  </si>
  <si>
    <t>从「我的」点探索标题</t>
  </si>
  <si>
    <t>进入 `/shell/playing` 全量列表</t>
  </si>
  <si>
    <t>未测</t>
  </si>
  <si>
    <t>67aaae7 新增 · 从我的进入探索全量列表</t>
  </si>
  <si>
    <t>2.3.1</t>
  </si>
  <si>
    <t>收藏 / 游玩历史（`/shell/archive`）</t>
  </si>
  <si>
    <t>通关前</t>
  </si>
  <si>
    <t>空态或仅历史条目</t>
  </si>
  <si>
    <t>未通关时历史页「暂无已完成路线」空态</t>
  </si>
  <si>
    <t>2.3.2</t>
  </si>
  <si>
    <t>通关后进入</t>
  </si>
  <si>
    <t>出现徽章/成绩归档条目</t>
  </si>
  <si>
    <t>2.3.3</t>
  </si>
  <si>
    <t>刷新后再进</t>
  </si>
  <si>
    <t>本地归档仍可见（当前实现偏本地）</t>
  </si>
  <si>
    <t>2.3.4</t>
  </si>
  <si>
    <t>从「我的」点游玩历史标题</t>
  </si>
  <si>
    <t>进入 `/shell/archive` 全量列表</t>
  </si>
  <si>
    <t>2.4.1</t>
  </si>
  <si>
    <t>Tab / FAB</t>
  </si>
  <si>
    <t>Shell FAB 展开</t>
  </si>
  <si>
    <t>一级为 **展厅 / 导游 / 我的**（不再是探索/历史），高亮与当前页一致</t>
  </si>
  <si>
    <t>2.4.2</t>
  </si>
  <si>
    <t>任务外 FAB</t>
  </si>
  <si>
    <t>含 **展厅 / 导游 / 我的 / 问**</t>
  </si>
  <si>
    <t>2.4.3</t>
  </si>
  <si>
    <t>任务中 FAB</t>
  </si>
  <si>
    <t>含 **路线 / 当前(或继续) / 展厅 / 导游 / 问**</t>
  </si>
  <si>
    <t>2.4.4</t>
  </si>
  <si>
    <t>点「问」</t>
  </si>
  <si>
    <t>打开 Ask 浮层或跳转全页</t>
  </si>
  <si>
    <t>2.4.5</t>
  </si>
  <si>
    <t>展开/收起 FAB</t>
  </si>
  <si>
    <t>动画流畅、不永久遮挡主内容；展开后可点选切换</t>
  </si>
  <si>
    <t>2.5.1</t>
  </si>
  <si>
    <t>导游（`/shell/guides` · 新增）</t>
  </si>
  <si>
    <t>FAB / 直链进入导游列表</t>
  </si>
  <si>
    <t>拉取 client-list；有骨架，不闪空</t>
  </si>
  <si>
    <t>2.5.2</t>
  </si>
  <si>
    <t>有导游数据</t>
  </si>
  <si>
    <t>卡片展示头像（或占位）、姓名；可点进详情</t>
  </si>
  <si>
    <t>2.5.3</t>
  </si>
  <si>
    <t>导游已配置标签</t>
  </si>
  <si>
    <t>列表/详情展示标签名（颜色可选）</t>
  </si>
  <si>
    <t>2.5.4</t>
  </si>
  <si>
    <t>列表为空 / 接口失败</t>
  </si>
  <si>
    <t>空态或错误态 + 可重试</t>
  </si>
  <si>
    <t>67aaae7 新增 · 导游列表空态/错误可重试</t>
  </si>
  <si>
    <t>2.5.5</t>
  </si>
  <si>
    <t>进入详情 `/shell/guides/:id`</t>
  </si>
  <si>
    <t>展示简介等；可返回列表</t>
  </si>
  <si>
    <t>2.5.6</t>
  </si>
  <si>
    <t>有 voiceSampleUrl</t>
  </si>
  <si>
    <t>可播放/暂停试听（VoiceSamplePlayer）</t>
  </si>
  <si>
    <t>67aaae7 新增 · 音色试听播放/暂停</t>
  </si>
  <si>
    <t>2.5.7</t>
  </si>
  <si>
    <t>无 voiceSampleUrl</t>
  </si>
  <si>
    <t>空态「暂无试听音频」等，不崩溃</t>
  </si>
  <si>
    <t>2.5.8</t>
  </si>
  <si>
    <t>无效 guideId</t>
  </si>
  <si>
    <t>明确「未找到」类空态，不白屏</t>
  </si>
  <si>
    <t>2.5.9</t>
  </si>
  <si>
    <t>导游有已发布路线</t>
  </si>
  <si>
    <t>头区 routeCount 合理；**讲解路线**列表有卡</t>
  </si>
  <si>
    <t>2.5.10</t>
  </si>
  <si>
    <t>导游无已发布路线</t>
  </si>
  <si>
    <t>空态合理（0 条 / 暂无路线），不白屏</t>
  </si>
  <si>
    <t>2.5.11</t>
  </si>
  <si>
    <t>关联路线加载失败</t>
  </si>
  <si>
    <t>错误提示 + 可重试；有缓存时可保留上次</t>
  </si>
  <si>
    <t>2.5.12</t>
  </si>
  <si>
    <t>从讲解路线点进 map</t>
  </si>
  <si>
    <t>URL 带 `fromGuide=1&amp;guideId=`；点返回回到 **该导游详情**（非裸展厅）</t>
  </si>
  <si>
    <t>2.5.13</t>
  </si>
  <si>
    <t>有试听 + providerVoiceId 点「设为语音助手音色」</t>
  </si>
  <si>
    <t>成功提示；按钮变为「已设为…」</t>
  </si>
  <si>
    <t>2.5.14</t>
  </si>
  <si>
    <t>已设为助手音色后刷新</t>
  </si>
  <si>
    <t>仍保持该音色；再点提示「已是助手音色」</t>
  </si>
  <si>
    <t>2.6.1</t>
  </si>
  <si>
    <t>我的（`/shell/me` · 新增）</t>
  </si>
  <si>
    <t>进入我的</t>
  </si>
  <si>
    <t>展示昵称/账号线、进行中/已完成/积分统计</t>
  </si>
  <si>
    <t>2.6.2</t>
  </si>
  <si>
    <t>有进行中路线</t>
  </si>
  <si>
    <t>预览最多 2 条；点卡片可回 map</t>
  </si>
  <si>
    <t>67aaae7 新增 · 进行中预览可回 map</t>
  </si>
  <si>
    <t>2.6.3</t>
  </si>
  <si>
    <t>无进行中</t>
  </si>
  <si>
    <t>空态文案引导去展厅</t>
  </si>
  <si>
    <t>67aaae7 新增 · 无进行中空态</t>
  </si>
  <si>
    <t>2.6.4</t>
  </si>
  <si>
    <t>已完成预览</t>
  </si>
  <si>
    <t>有则展示；点标题进 archive 全量</t>
  </si>
  <si>
    <t>2.6.5</t>
  </si>
  <si>
    <t>正式账号点退出</t>
  </si>
  <si>
    <t>确认后清会话回登录</t>
  </si>
  <si>
    <t>67aaae7 新增 · 正式账号退出</t>
  </si>
  <si>
    <t>2.6.6</t>
  </si>
  <si>
    <t>游客点「绑定账号」</t>
  </si>
  <si>
    <t>进入 `/auth` 可注册/登录</t>
  </si>
  <si>
    <t>3.1.1</t>
  </si>
  <si>
    <t>H5 · 主链路（核心，必测）</t>
  </si>
  <si>
    <t>路线 Map（`/missions/:routeId/map`）</t>
  </si>
  <si>
    <t>无会话进入</t>
  </si>
  <si>
    <t>展示封面 / meta / 站列表预览，可「开始探索」</t>
  </si>
  <si>
    <t>3.1.2</t>
  </si>
  <si>
    <t>点开始探索</t>
  </si>
  <si>
    <t>Join 成功，进入可玩状态</t>
  </si>
  <si>
    <t>点进入本站进入 narration/brief 可玩</t>
  </si>
  <si>
    <t>3.1.3</t>
  </si>
  <si>
    <t>有 stories 的路线</t>
  </si>
  <si>
    <t>介绍/prologue 内容可展示（若产品仍展示）</t>
  </si>
  <si>
    <t>本轮抽检路线 map 无独立 stories/prologue 展示入口</t>
  </si>
  <si>
    <t>3.1.4</t>
  </si>
  <si>
    <t>有会话进入</t>
  </si>
  <si>
    <t>展示各站闸门状态（待找/待播/待闯关/待收听/完成）</t>
  </si>
  <si>
    <t>3.1.5</t>
  </si>
  <si>
    <t>点已解锁站</t>
  </si>
  <si>
    <t>进入对应 brief 或 narration</t>
  </si>
  <si>
    <t>3.1.6</t>
  </si>
  <si>
    <t>点未解锁站</t>
  </si>
  <si>
    <t>不可进入或有明确提示</t>
  </si>
  <si>
    <t>3.1.7</t>
  </si>
  <si>
    <t>「接着玩」</t>
  </si>
  <si>
    <t>恢复到服务端进度，不丢站</t>
  </si>
  <si>
    <t>3.1.8</t>
  </si>
  <si>
    <t>interactionType 标签 / 排序</t>
  </si>
  <si>
    <t>标签与 sortOrder 正确</t>
  </si>
  <si>
    <t>3.2.1</t>
  </si>
  <si>
    <t>本站 Brief 三阶段（type 1~10）</t>
  </si>
  <si>
    <t>进入本站</t>
  </si>
  <si>
    <t>默认从当前闸门阶段开始，不乱跳</t>
  </si>
  <si>
    <t>3.2.2</t>
  </si>
  <si>
    <t>扫一扫 / 找一找 UI</t>
  </si>
  <si>
    <t>可打开；选图仅本地预览，**不伪造识别成功**</t>
  </si>
  <si>
    <t>当前主路径 type1/6/11 无扫一扫/找一找闸门 UI</t>
  </si>
  <si>
    <t>产品策略直达闯关/解说</t>
  </si>
  <si>
    <t>3.2.3</t>
  </si>
  <si>
    <t>跳过识别（联调策略）</t>
  </si>
  <si>
    <t>可进入播片；文案语义为跳过而非「识别成功」</t>
  </si>
  <si>
    <t>同 3.2.2，无识别闸门</t>
  </si>
  <si>
    <t>3.2.4</t>
  </si>
  <si>
    <t>有 videoUrl</t>
  </si>
  <si>
    <t>可播放真实短片</t>
  </si>
  <si>
    <t>本轮未遇到有 videoUrl 的播片站</t>
  </si>
  <si>
    <t>3.2.5</t>
  </si>
  <si>
    <t>无 videoUrl</t>
  </si>
  <si>
    <t>默认片或可跳过，不卡死</t>
  </si>
  <si>
    <t>本轮未进入播片阶段</t>
  </si>
  <si>
    <t>3.2.6</t>
  </si>
  <si>
    <t>跳过播片</t>
  </si>
  <si>
    <t>进入闯关 / Submit 阶段</t>
  </si>
  <si>
    <t>3.2.7</t>
  </si>
  <si>
    <t>看完播片</t>
  </si>
  <si>
    <t>可进入下一阶段</t>
  </si>
  <si>
    <t>3.2.8</t>
  </si>
  <si>
    <t>type 1~9 答题正确</t>
  </si>
  <si>
    <t>Submit 成功 → 本站结果</t>
  </si>
  <si>
    <t>3.2.9</t>
  </si>
  <si>
    <t>答题错误</t>
  </si>
  <si>
    <t>展示服务端文案，可重试</t>
  </si>
  <si>
    <t>3.2.11</t>
  </si>
  <si>
    <t>Submit 接口失败</t>
  </si>
  <si>
    <t>错误提示；联调可用强制跳过兜底时，不永久卡死</t>
  </si>
  <si>
    <t>本轮未制造 Submit 接口失败</t>
  </si>
  <si>
    <t>3.2.12</t>
  </si>
  <si>
    <t>强制跳过本站</t>
  </si>
  <si>
    <t>本地放行回 map，站状态更新</t>
  </si>
  <si>
    <t>闯关「跳过本站」/解说「跳过解说」→result→map，进度递增</t>
  </si>
  <si>
    <t>瓷器线站2 跳过解说后 2/9</t>
  </si>
  <si>
    <t>3.2.13</t>
  </si>
  <si>
    <t>提示 / 解锁提示（若有）</t>
  </si>
  <si>
    <t>Hints / UnlockHint 可用且不破坏进度</t>
  </si>
  <si>
    <t>3.3.1</t>
  </si>
  <si>
    <t>题型抽检（渲染 + 提交）</t>
  </si>
  <si>
    <t>type 1 Answer · 作答并提交</t>
  </si>
  <si>
    <t>作答并提交</t>
  </si>
  <si>
    <t>判定正确，进度推进</t>
  </si>
  <si>
    <t>3.3.3</t>
  </si>
  <si>
    <t>type 6 Jigsaw · 拼图完成并提交</t>
  </si>
  <si>
    <t>拼图完成并提交</t>
  </si>
  <si>
    <t>可完成、可提交</t>
  </si>
  <si>
    <t>3.3.5</t>
  </si>
  <si>
    <t>type 2/3/4/7/8/9（抽检） · 打开题面</t>
  </si>
  <si>
    <t>打开题面</t>
  </si>
  <si>
    <t>可渲染、不白屏；能提交则验证结果</t>
  </si>
  <si>
    <t>产品已无 type5/type10；2/3/4/7/8/9 本轮不抽检</t>
  </si>
  <si>
    <t>type 2/3/4/7/8/9（抽检）</t>
  </si>
  <si>
    <t>3.4.1</t>
  </si>
  <si>
    <t>解说站 type 11（`.../narration`）</t>
  </si>
  <si>
    <t>从 map 进入 type 11</t>
  </si>
  <si>
    <t>**不经过**扫一扫/播片，直达解说页</t>
  </si>
  <si>
    <t>3.4.2</t>
  </si>
  <si>
    <t>拉取 Narration/detail</t>
  </si>
  <si>
    <t>文案/内容展示正常</t>
  </si>
  <si>
    <t>3.4.3</t>
  </si>
  <si>
    <t>无 audio</t>
  </si>
  <si>
    <t>可触发生成语音并轮询至可播</t>
  </si>
  <si>
    <t>3.4.4</t>
  </si>
  <si>
    <t>有 audio</t>
  </si>
  <si>
    <t>可播放</t>
  </si>
  <si>
    <t>有 audio 可播（进度条可见）</t>
  </si>
  <si>
    <t>3.4.5</t>
  </si>
  <si>
    <t>完成并 Submit</t>
  </si>
  <si>
    <t>进入本站结果 / 回 map，状态为完成</t>
  </si>
  <si>
    <t>3.5.1</t>
  </si>
  <si>
    <t>本站结果与终局</t>
  </si>
  <si>
    <t>完成本站</t>
  </si>
  <si>
    <t>进入 result，信息与服务端一致</t>
  </si>
  <si>
    <t>3.5.2</t>
  </si>
  <si>
    <t>从 result 返回</t>
  </si>
  <si>
    <t>回路线 map，该站显示完成</t>
  </si>
  <si>
    <t>3.5.3</t>
  </si>
  <si>
    <t>多站循环</t>
  </si>
  <si>
    <t>下一站闸门正确解锁</t>
  </si>
  <si>
    <t>3.5.4</t>
  </si>
  <si>
    <t>全部完成</t>
  </si>
  <si>
    <t>进入 finale，RouteResult 展示成绩</t>
  </si>
  <si>
    <t>3.5.5</t>
  </si>
  <si>
    <t>终局后</t>
  </si>
  <si>
    <t>写入收藏/归档；可回展厅</t>
  </si>
  <si>
    <t>3.5.6</t>
  </si>
  <si>
    <t>终局后再次进同线</t>
  </si>
  <si>
    <t>「接着玩」或已完成态合理，不重复脏数据</t>
  </si>
  <si>
    <t>3.6.1</t>
  </si>
  <si>
    <t>进度恢复（权威源）</t>
  </si>
  <si>
    <t>玩到中途，刷新页面</t>
  </si>
  <si>
    <t>进度从 `MyRouteProgress` 恢复</t>
  </si>
  <si>
    <t>3.6.2</t>
  </si>
  <si>
    <t>清本地缓存后重登同账号</t>
  </si>
  <si>
    <t>仍可按服务端进度接着玩</t>
  </si>
  <si>
    <t>本轮未清缓存重登</t>
  </si>
  <si>
    <t>3.6.3</t>
  </si>
  <si>
    <t>换设备/无痕（同账号）</t>
  </si>
  <si>
    <t>本轮未换设备/无痕</t>
  </si>
  <si>
    <t>3.6.4</t>
  </si>
  <si>
    <t>并发重复进入同一站</t>
  </si>
  <si>
    <t>不重复脏 Submit；loading 去重正常</t>
  </si>
  <si>
    <t>本轮未测并发重复进入</t>
  </si>
  <si>
    <t>4.1.1</t>
  </si>
  <si>
    <t>H5 · 问一问（Ask）</t>
  </si>
  <si>
    <t>入口与上下文</t>
  </si>
  <si>
    <t>FAB「问」打开浮层</t>
  </si>
  <si>
    <t>已登录 H5；网络可访问 Ask/SSE；任务中用例需处于任务上下文。</t>
  </si>
  <si>
    <t>可打开/关闭</t>
  </si>
  <si>
    <t>4.1.2</t>
  </si>
  <si>
    <t>进入 `/shell/ask` 全页</t>
  </si>
  <si>
    <t>可聊天</t>
  </si>
  <si>
    <t>/shell/ask 全页可打开聊天 UI</t>
  </si>
  <si>
    <t>4.1.3</t>
  </si>
  <si>
    <t>任务中（brief/解说）打开 Ask</t>
  </si>
  <si>
    <t>可附带站点上下文 chip</t>
  </si>
  <si>
    <t>相对 67aaae7 需重测：任务中 Ask 上下文 chip 文案改为路线名·站名，需重测；旧结果=跳过</t>
  </si>
  <si>
    <t>4.1.4</t>
  </si>
  <si>
    <t>用户去掉上下文 chip</t>
  </si>
  <si>
    <t>不再强行回填</t>
  </si>
  <si>
    <t>无上下文 chip 可去掉</t>
  </si>
  <si>
    <t>4.1.5</t>
  </si>
  <si>
    <t>有 routeTitle/stageTitle 时</t>
  </si>
  <si>
    <t>chip 文案为 **「路线名 · 站名」**，**不**直出 routeId/stageId</t>
  </si>
  <si>
    <t>67aaae7 新增 · Ask chip 展示路线名·站名</t>
  </si>
  <si>
    <t>4.1.6</t>
  </si>
  <si>
    <t>无标题仅有 id 时</t>
  </si>
  <si>
    <t>chip 为中性「当前站点」；发送请求仍带正确 id</t>
  </si>
  <si>
    <t>67aaae7 新增 · 无标题时 chip 为当前站点且发送仍带 id</t>
  </si>
  <si>
    <t>4.1.7</t>
  </si>
  <si>
    <t>打开 Ask 默认模式</t>
  </si>
  <si>
    <t>**默认语音模式**；可切换到文字模式（标题/控件可区分）</t>
  </si>
  <si>
    <t>4.2.1</t>
  </si>
  <si>
    <t>会话与 SSE（文字路径）</t>
  </si>
  <si>
    <t>文字模式发送问题</t>
  </si>
  <si>
    <t>建立会话，SSE 流式增量展示（不强制音频）</t>
  </si>
  <si>
    <t>4.2.2</t>
  </si>
  <si>
    <t>正常结束</t>
  </si>
  <si>
    <t>done 事件后完整回复；可带来源展品</t>
  </si>
  <si>
    <t>4.2.3</t>
  </si>
  <si>
    <t>历史消息</t>
  </si>
  <si>
    <t>再进会话可看到历史</t>
  </si>
  <si>
    <t>因 SSE 失败无有效历史可回看</t>
  </si>
  <si>
    <t>D2</t>
  </si>
  <si>
    <t>4.2.4</t>
  </si>
  <si>
    <t>断流 / 网络中断</t>
  </si>
  <si>
    <t>有错误提示，可重试，不白屏</t>
  </si>
  <si>
    <t>超时后有错误提示与重试按钮，不白屏</t>
  </si>
  <si>
    <t>错误处理可用；根因在后端/SSE</t>
  </si>
  <si>
    <t>4.2.5</t>
  </si>
  <si>
    <t>401 / 登录失效</t>
  </si>
  <si>
    <t>引导登录</t>
  </si>
  <si>
    <t>本轮未制造 401</t>
  </si>
  <si>
    <t>4.2.6</t>
  </si>
  <si>
    <t>空回复</t>
  </si>
  <si>
    <t>有兜底文案</t>
  </si>
  <si>
    <t>本轮未收到空回复场景</t>
  </si>
  <si>
    <t>4.3.1</t>
  </si>
  <si>
    <t>实时语音（`send-with-audio` · 新增）</t>
  </si>
  <si>
    <t>语音模式发送问题</t>
  </si>
  <si>
    <t>请求 `ExhibitChat/send-with-audio`；文字仍增量展示</t>
  </si>
  <si>
    <t>4.3.2</t>
  </si>
  <si>
    <t>音频正常</t>
  </si>
  <si>
    <t>出现朗读（audio.started→delta→done）；短句串行、无明显错序/重叠</t>
  </si>
  <si>
    <t>4.3.3</t>
  </si>
  <si>
    <t>可停播 / 关浮层</t>
  </si>
  <si>
    <t>停止或取消本轮音频，不白屏、不卡死</t>
  </si>
  <si>
    <t>4.3.4</t>
  </si>
  <si>
    <t>合成失败（audio.error）</t>
  </si>
  <si>
    <t>有音频失败提示；**文字回答继续至 done**</t>
  </si>
  <si>
    <t>4.3.5</t>
  </si>
  <si>
    <t>已设导游助手音色后语音提问</t>
  </si>
  <si>
    <t>请求 voiceId 为该导游 `providerVoiceId`（可抓包或听感区分）</t>
  </si>
  <si>
    <t>4.3.6</t>
  </si>
  <si>
    <t>未设助手音色</t>
  </si>
  <si>
    <t>使用默认/env 音色，仍可语音回复</t>
  </si>
  <si>
    <t>4.3.7</t>
  </si>
  <si>
    <t>切回文字模式再发</t>
  </si>
  <si>
    <t>走原 send；**不**强行播报本轮 TTS</t>
  </si>
  <si>
    <t>4.3.8</t>
  </si>
  <si>
    <t>语音模式 + 站点上下文</t>
  </si>
  <si>
    <t>chip 仍正确；发送带 route/stage id</t>
  </si>
  <si>
    <t>5.1.1</t>
  </si>
  <si>
    <t>H5 · 兼容与工程健壮性</t>
  </si>
  <si>
    <t>旧路径兼容</t>
  </si>
  <si>
    <t>`/tasks/:routeId`</t>
  </si>
  <si>
    <t>访问路径：`/tasks/:routeId`</t>
  </si>
  <si>
    <t>redirect → `/missions/:id/map`</t>
  </si>
  <si>
    <t>/tasks/:id redirect → /missions/:id/map</t>
  </si>
  <si>
    <t>5.1.2</t>
  </si>
  <si>
    <t>`/missions/:id/prologue`</t>
  </si>
  <si>
    <t>访问路径：`/missions/:id/prologue`</t>
  </si>
  <si>
    <t>redirect → map</t>
  </si>
  <si>
    <t>/prologue → /missions/:id/map</t>
  </si>
  <si>
    <t>5.1.3</t>
  </si>
  <si>
    <t>`.../clue` / `.../video` / `.../puzzle`</t>
  </si>
  <si>
    <t>访问路径：`.../clue` / `.../video` / `.../puzzle`</t>
  </si>
  <si>
    <t>redirect → `.../brief`</t>
  </si>
  <si>
    <t>clue/video/puzzle 路由并入 brief；无会话/闸门时最终回 map</t>
  </si>
  <si>
    <t>与 1.2 策略一致</t>
  </si>
  <si>
    <t>5.2.1</t>
  </si>
  <si>
    <t>视觉与加载</t>
  </si>
  <si>
    <t>关键页星空/黑金主题</t>
  </si>
  <si>
    <t>无严重闪烁、错层</t>
  </si>
  <si>
    <t>黑金主题可正常展示</t>
  </si>
  <si>
    <t>5.2.2</t>
  </si>
  <si>
    <t>关键接口 loading（cinema）</t>
  </si>
  <si>
    <t>可出现且可关闭，不永久压暗</t>
  </si>
  <si>
    <t>本轮未专门触发 cinema loading</t>
  </si>
  <si>
    <t>5.2.3</t>
  </si>
  <si>
    <t>路由切换</t>
  </si>
  <si>
    <t>不异常全屏压暗卡死</t>
  </si>
  <si>
    <t>map↔brief↔narration↔result 切换无全屏压暗卡死</t>
  </si>
  <si>
    <t>5.2.4</t>
  </si>
  <si>
    <t>移动端宽度（375 / 390）</t>
  </si>
  <si>
    <t>主要页面不横向溢出</t>
  </si>
  <si>
    <t>390 宽度主要页面可用</t>
  </si>
  <si>
    <t>5.2.5</t>
  </si>
  <si>
    <t>终局分享卡（375 宽）</t>
  </si>
  <si>
    <t>弹层不贴边裁切；标题长文案可断行</t>
  </si>
  <si>
    <t>67aaae7 新增 · 分享卡 375 宽不贴边裁切</t>
  </si>
  <si>
    <t>5.3.1</t>
  </si>
  <si>
    <t>弱网与失败</t>
  </si>
  <si>
    <t>列表接口超时</t>
  </si>
  <si>
    <t>错误态 + 可重试</t>
  </si>
  <si>
    <t>本轮未制造列表超时</t>
  </si>
  <si>
    <t>5.3.2</t>
  </si>
  <si>
    <t>Detail / Stages 失败</t>
  </si>
  <si>
    <t>不白屏，可回退</t>
  </si>
  <si>
    <t>本轮未制造 Detail/Stages 失败</t>
  </si>
  <si>
    <t>5.3.3</t>
  </si>
  <si>
    <t>Submit 失败</t>
  </si>
  <si>
    <t>展示服务端文案</t>
  </si>
  <si>
    <t>答错展示服务端文案，可重试</t>
  </si>
  <si>
    <t>D1</t>
  </si>
  <si>
    <t>与 3.2.9 同修</t>
  </si>
  <si>
    <t>5.3.4</t>
  </si>
  <si>
    <t>RecordActivity 失败</t>
  </si>
  <si>
    <t>静默，不影响主流程</t>
  </si>
  <si>
    <t>本轮未单独验证 RecordActivity 失败静默</t>
  </si>
  <si>
    <t>6.1.1</t>
  </si>
  <si>
    <t>后台 web-admin · 功能性验收</t>
  </si>
  <si>
    <t>登录与会话</t>
  </si>
  <si>
    <t>未登录访问 `/console/*`</t>
  </si>
  <si>
    <t>已登录 web-admin；具备相应角色权限；H5 环境可用（B→C 相关用例）。</t>
  </si>
  <si>
    <t>跳转登录页</t>
  </si>
  <si>
    <t>6.1.2</t>
  </si>
  <si>
    <t>管理员正确登录（如 `admin`）</t>
  </si>
  <si>
    <t>进入控制台，展示管理员身份</t>
  </si>
  <si>
    <t>admin 登录进入控制台</t>
  </si>
  <si>
    <t>6.1.3</t>
  </si>
  <si>
    <t>导游正确登录（如 `douzong`）</t>
  </si>
  <si>
    <t>进入控制台，展示导游身份</t>
  </si>
  <si>
    <t>douzong 登录，身份导游</t>
  </si>
  <si>
    <t>6.1.4</t>
  </si>
  <si>
    <t>错误密码</t>
  </si>
  <si>
    <t>明确失败提示（如「用户名或密码错误」），不进入</t>
  </si>
  <si>
    <t>错误密码提示「用户名或密码错误」</t>
  </si>
  <si>
    <t>6.1.5</t>
  </si>
  <si>
    <t>退出登录</t>
  </si>
  <si>
    <t>会话清除，再访问 console 需重新登录</t>
  </si>
  <si>
    <t>退出后回登录页</t>
  </si>
  <si>
    <t>6.1.6</t>
  </si>
  <si>
    <t>访问站点根 `/` 或 console 首页</t>
  </si>
  <si>
    <t>未登录→登录页；已登录→运营控制台（admin-home）</t>
  </si>
  <si>
    <t>6.2.1</t>
  </si>
  <si>
    <t>角色菜单与数据范围</t>
  </si>
  <si>
    <t>管理员侧栏</t>
  </si>
  <si>
    <t>含：运营分析 / 博物馆 / 馆藏内容 / 主题路线 / 导游管理 / 用户管理</t>
  </si>
  <si>
    <t>6.2.2</t>
  </si>
  <si>
    <t>导游侧栏</t>
  </si>
  <si>
    <t>**仅**含：主题路线、我的讲解形象（导游管理入口）</t>
  </si>
  <si>
    <t>导游仅主题路线+我的讲解形象</t>
  </si>
  <si>
    <t>6.2.3</t>
  </si>
  <si>
    <t>管理员路线列表</t>
  </si>
  <si>
    <t>可见本馆全部路线（含他人未上架）</t>
  </si>
  <si>
    <t>管理员可见全馆路线（36+）</t>
  </si>
  <si>
    <t>6.2.4</t>
  </si>
  <si>
    <t>导游路线列表</t>
  </si>
  <si>
    <t>仅「自己创建的 + 已上架可参考」；文案/条数符合产品</t>
  </si>
  <si>
    <t>导游仅 6 条（本人+已上架参考）</t>
  </si>
  <si>
    <t>6.2.5</t>
  </si>
  <si>
    <t>导游不可进运营/用户等</t>
  </si>
  <si>
    <t>直链访问应拒绝或回退到有权限页</t>
  </si>
  <si>
    <t>导游直链 operations/users/museums/collections 均回退到主题路线</t>
  </si>
  <si>
    <t>guides 入口映射为我的讲解形象</t>
  </si>
  <si>
    <t>6.3.1</t>
  </si>
  <si>
    <t>运营分析（管理员）</t>
  </si>
  <si>
    <t>打开运营分析页</t>
  </si>
  <si>
    <t>无白屏、无未处理报错</t>
  </si>
  <si>
    <t>运营分析打开无报错</t>
  </si>
  <si>
    <t>6.3.2</t>
  </si>
  <si>
    <t>核心指标展示</t>
  </si>
  <si>
    <t>用户/展品/路线/已发布/游玩/完成率等有数或合理空态</t>
  </si>
  <si>
    <t>用户/展品/路线/完成率等有数</t>
  </si>
  <si>
    <t>6.3.3</t>
  </si>
  <si>
    <t>刷新</t>
  </si>
  <si>
    <t>可重新拉取，不卡死</t>
  </si>
  <si>
    <t>刷新可用</t>
  </si>
  <si>
    <t>6.3.4</t>
  </si>
  <si>
    <t>图表/列表区</t>
  </si>
  <si>
    <t>有内容或空态，不永久 loading</t>
  </si>
  <si>
    <t>有图表区「路线开始/完成」</t>
  </si>
  <si>
    <t>6.4.1</t>
  </si>
  <si>
    <t>导游管理（管理员全量 / 导游自管）</t>
  </si>
  <si>
    <t>管理员打开导游管理</t>
  </si>
  <si>
    <t>列表可加载，有筛选/分页</t>
  </si>
  <si>
    <t>6.4.2</t>
  </si>
  <si>
    <t>管理员查看详情</t>
  </si>
  <si>
    <t>详情打开无报错</t>
  </si>
  <si>
    <t>详情弹窗展示编码/状态/默认/生成状态/音色试听</t>
  </si>
  <si>
    <t>窦总</t>
  </si>
  <si>
    <t>6.4.3</t>
  </si>
  <si>
    <t>管理员编辑导游（若测）</t>
  </si>
  <si>
    <t>保存成功，列表刷新</t>
  </si>
  <si>
    <t>失败</t>
  </si>
  <si>
    <t>编辑保存 POST /api/guide/update-with-material 返回 500</t>
  </si>
  <si>
    <t>D7</t>
  </si>
  <si>
    <t>前端有「保存失败」提示</t>
  </si>
  <si>
    <t>6.4.4</t>
  </si>
  <si>
    <t>导游打开「我的讲解形象」</t>
  </si>
  <si>
    <t>仅见自身相关能力，无越权管理全馆导游</t>
  </si>
  <si>
    <t>导游侧「我的讲解形象」可开，列表可加载</t>
  </si>
  <si>
    <t>可见全量导游列表与新增，是否应仅本人待产品确认</t>
  </si>
  <si>
    <t>6.4.5</t>
  </si>
  <si>
    <t>必填/空提交（若有表单）</t>
  </si>
  <si>
    <t>有校验提示</t>
  </si>
  <si>
    <t>本轮不测删除导游</t>
  </si>
  <si>
    <t>6.4.6</t>
  </si>
  <si>
    <t>编辑导游 → 选择标签</t>
  </si>
  <si>
    <t>打开标签对话框；可多选；确认后表单 chip 回显</t>
  </si>
  <si>
    <t>67aaae7 新增 · 导游表单选择标签并回显</t>
  </si>
  <si>
    <t>6.4.7</t>
  </si>
  <si>
    <t>标签对话框 · 新建</t>
  </si>
  <si>
    <t>输入名称保存成功，列表出现新标签</t>
  </si>
  <si>
    <t>67aaae7 新增 · 标签新建</t>
  </si>
  <si>
    <t>6.4.8</t>
  </si>
  <si>
    <t>标签对话框 · 改名 / 删除</t>
  </si>
  <si>
    <t>改名生效；删除后不可再选（行为符合后端）</t>
  </si>
  <si>
    <t>67aaae7 新增 · 标签改名/删除</t>
  </si>
  <si>
    <t>6.4.9</t>
  </si>
  <si>
    <t>保存带 TagIds 的导游</t>
  </si>
  <si>
    <t>保存成功；再开编辑仍勾选；H5 导游列表/详情可见标签</t>
  </si>
  <si>
    <t>67aaae7 新增 · TagIds 保存后 H5 可见</t>
  </si>
  <si>
    <t>6.4.10</t>
  </si>
  <si>
    <t>新增/编辑 · 上传音频样本</t>
  </si>
  <si>
    <t>可加入素材列表；保存后进入音色生成或可刷新状态</t>
  </si>
  <si>
    <t>6.4.11</t>
  </si>
  <si>
    <t>新增/编辑 · 上传视频样本</t>
  </si>
  <si>
    <t>可提交（服务端/BFF 抽音频，依赖 FFMPEG）；失败有明确文案</t>
  </si>
  <si>
    <t>6.4.12</t>
  </si>
  <si>
    <t>音色生成中</t>
  </si>
  <si>
    <t>展示「音色生成中，稍后可刷新」；点刷新后状态更新（成功可试听 / 失败有因）</t>
  </si>
  <si>
    <t>6.4.13</t>
  </si>
  <si>
    <t>保存后 H5</t>
  </si>
  <si>
    <t>client-list 出现/更新；有 sample 可试听；有 providerVoiceId 可设助手音色</t>
  </si>
  <si>
    <t>6.5.1</t>
  </si>
  <si>
    <t>用户管理（管理员）</t>
  </si>
  <si>
    <t>打开用户管理</t>
  </si>
  <si>
    <t>列表可加载（含管理员/策展人等）</t>
  </si>
  <si>
    <t>6.5.2</t>
  </si>
  <si>
    <t>筛选 / 关键词</t>
  </si>
  <si>
    <t>结果正确或可清空</t>
  </si>
  <si>
    <t>编辑 testadmin0726 真实姓名保存成功</t>
  </si>
  <si>
    <t>6.5.3</t>
  </si>
  <si>
    <t>编辑用户（若测）</t>
  </si>
  <si>
    <t>保存成功</t>
  </si>
  <si>
    <t>重置密码成功提示「密码已重置」</t>
  </si>
  <si>
    <t>6.5.4</t>
  </si>
  <si>
    <t>重置密码入口</t>
  </si>
  <si>
    <t>有确认；行为符合权限</t>
  </si>
  <si>
    <t>新增 testadmin0726（策展人）成功，列表 3 条</t>
  </si>
  <si>
    <t>测后已删</t>
  </si>
  <si>
    <t>6.5.5</t>
  </si>
  <si>
    <t>启用/禁用</t>
  </si>
  <si>
    <t>状态变更正确；禁用后登录策略符合产品</t>
  </si>
  <si>
    <t>禁用成功，状态变为禁用，操作变为启用</t>
  </si>
  <si>
    <t>6.5.6</t>
  </si>
  <si>
    <t>新增用户（若测）</t>
  </si>
  <si>
    <t>创建成功并可登录或按产品提示</t>
  </si>
  <si>
    <t>重新启用后删除成功；禁用态删除曾报「管理员账号已被禁用」</t>
  </si>
  <si>
    <t>需先启用再删</t>
  </si>
  <si>
    <t>6.6.1</t>
  </si>
  <si>
    <t>主题路线 · 管理员全链路（新增 / 修改 / 上架 / 下线）</t>
  </si>
  <si>
    <t>打开主题路线列表</t>
  </si>
  <si>
    <t>筛选（发布/审核）、分页、刷新可用</t>
  </si>
  <si>
    <t>6.6.2</t>
  </si>
  <si>
    <t>新增路线 · 按条件生成</t>
  </si>
  <si>
    <t>标题/主题/生成提示/站点数必填；生成成功进列表</t>
  </si>
  <si>
    <t>按条件生成可建壳但长期「生成中」；routeType=10 挑战未齐无法上架</t>
  </si>
  <si>
    <t>D5</t>
  </si>
  <si>
    <t>功能测试·管理员闭环0726</t>
  </si>
  <si>
    <t>6.6.3</t>
  </si>
  <si>
    <t>新增路线 · AI 对话生成（若用）</t>
  </si>
  <si>
    <t>可创建；生成中有状态；完成后可编辑</t>
  </si>
  <si>
    <t>本轮未测 AI 对话生成</t>
  </si>
  <si>
    <t>走按条件生成+表单</t>
  </si>
  <si>
    <t>6.6.4</t>
  </si>
  <si>
    <t>生成中列表态</t>
  </si>
  <si>
    <t>显示「生成中」；主操作受限（如仅刷新）</t>
  </si>
  <si>
    <t>列表显示生成中，操作仅刷新</t>
  </si>
  <si>
    <t>6.6.5</t>
  </si>
  <si>
    <t>生成失败</t>
  </si>
  <si>
    <t>有明确错误（如检索展品不足），不静默</t>
  </si>
  <si>
    <t>检索 0 展品时 409 明确错误弹窗</t>
  </si>
  <si>
    <t>6.6.6</t>
  </si>
  <si>
    <t>编辑未上架路线 · 改标题</t>
  </si>
  <si>
    <t>保存成功，列表/详情标题更新</t>
  </si>
  <si>
    <t>大唐釉色改标题保存成功</t>
  </si>
  <si>
    <t>6.6.7</t>
  </si>
  <si>
    <t>编辑未上架路线 · 站点预览</t>
  </si>
  <si>
    <t>站列表与类型标签正确；可进站点编辑（若有）</t>
  </si>
  <si>
    <t>6.6.8</t>
  </si>
  <si>
    <t>对话改路线（若用）</t>
  </si>
  <si>
    <t>SSE/工具不卡死；结果可落入节点</t>
  </si>
  <si>
    <t>本轮未测对话改路线</t>
  </si>
  <si>
    <t>6.6.9</t>
  </si>
  <si>
    <t>上架确认</t>
  </si>
  <si>
    <t>二次确认；成功后状态=已上架；内容锁定不可改</t>
  </si>
  <si>
    <t>确认上架成功，状态已上架</t>
  </si>
  <si>
    <t>6.6.10</t>
  </si>
  <si>
    <t>上架后 H5</t>
  </si>
  <si>
    <t>展厅 **Published** 列表可见该路线</t>
  </si>
  <si>
    <t>H5 展厅出现「大唐釉色…·测0726」</t>
  </si>
  <si>
    <t>6.6.11</t>
  </si>
  <si>
    <t>下线确认</t>
  </si>
  <si>
    <t>成功后状态=已下线；H5 刷新后不可见</t>
  </si>
  <si>
    <t>下线后 publishStatus=3；H5 刷新后不可见</t>
  </si>
  <si>
    <t>6.6.12</t>
  </si>
  <si>
    <t>已下线再上架</t>
  </si>
  <si>
    <t>可重新上架（免审管理员）</t>
  </si>
  <si>
    <t>宋朝文物巡礼04450：已下线→重新上架→已上架</t>
  </si>
  <si>
    <t>下线态按钮文案为「重新上架」</t>
  </si>
  <si>
    <t>6.6.13</t>
  </si>
  <si>
    <t>删除未上架（若测）</t>
  </si>
  <si>
    <t>二次确认；删除后列表消失</t>
  </si>
  <si>
    <t>未删数据</t>
  </si>
  <si>
    <t>6.6.14</t>
  </si>
  <si>
    <t>对他人未上架（非待审）</t>
  </si>
  <si>
    <t>管理员：**不可改内容**；可上架/下线/删（按工作流）</t>
  </si>
  <si>
    <t>他人未上架需审线：无编辑，可上架/审核</t>
  </si>
  <si>
    <t>与工作流一致</t>
  </si>
  <si>
    <t>6.6.15</t>
  </si>
  <si>
    <t>对他人已上架</t>
  </si>
  <si>
    <t>只读查看 + 可下线</t>
  </si>
  <si>
    <t>已上架只读查看+下线</t>
  </si>
  <si>
    <t>6.7.1</t>
  </si>
  <si>
    <t>主题路线 · 导游发布权限流转（重点）</t>
  </si>
  <si>
    <t>本人未上架且未提交</t>
  </si>
  <si>
    <t>操作含 **提交审核** + **编辑**；**无**直接上架（未过审）</t>
  </si>
  <si>
    <t>导游未提交线：提交审核+编辑，无直接上架</t>
  </si>
  <si>
    <t>6.7.2</t>
  </si>
  <si>
    <t>提交审核</t>
  </si>
  <si>
    <t>确认后状态=**待审核**；不可再改内容（仅查看）</t>
  </si>
  <si>
    <t>提交后待审核，仅查看</t>
  </si>
  <si>
    <t>6.7.3</t>
  </si>
  <si>
    <t>待审核筛选</t>
  </si>
  <si>
    <t>「待审核」筛出该线；操作含 **审核**（+ 可强制上架策略以产品为准）</t>
  </si>
  <si>
    <t>管理员待审核筛选出该线，含审核操作</t>
  </si>
  <si>
    <t>6.7.4</t>
  </si>
  <si>
    <t>打开审核详情</t>
  </si>
  <si>
    <t>只读预览站点；提示待审仅可查看</t>
  </si>
  <si>
    <t>只读预览+待审提示</t>
  </si>
  <si>
    <t>6.7.5</t>
  </si>
  <si>
    <t>审核通过</t>
  </si>
  <si>
    <t>成功提示；待审列表移除；导游侧状态=**已通过**；**弹出「是否现在上架」**</t>
  </si>
  <si>
    <t>相对 67aaae7 需重测：审核通过后新增「是否现在上架」弹窗，需重测；旧结果=通过</t>
  </si>
  <si>
    <t>6.7.6</t>
  </si>
  <si>
    <t>审核驳回（抽测）</t>
  </si>
  <si>
    <t>必填备注；导游可见驳回原因；可改后再提交</t>
  </si>
  <si>
    <t>当前无待审核路线可驳回</t>
  </si>
  <si>
    <t>筛选待审核 0 条</t>
  </si>
  <si>
    <t>6.7.7</t>
  </si>
  <si>
    <t>通过后上架</t>
  </si>
  <si>
    <t>出现 **上架**；确认后状态=已上架</t>
  </si>
  <si>
    <t>导游上架成功</t>
  </si>
  <si>
    <t>6.7.8</t>
  </si>
  <si>
    <t>展厅可见该路线</t>
  </si>
  <si>
    <t>H5 已发布列表含对应青铜线</t>
  </si>
  <si>
    <t>同名多条需注意区分</t>
  </si>
  <si>
    <t>6.7.9</t>
  </si>
  <si>
    <t>本人已上架</t>
  </si>
  <si>
    <t>可 **下线** + 查看；不可直接改内容</t>
  </si>
  <si>
    <t>本人已上架：下线+查看</t>
  </si>
  <si>
    <t>6.7.10</t>
  </si>
  <si>
    <t>他人已上架</t>
  </si>
  <si>
    <t>**仅查看**（+ 海报等只读能力）；无下线/编辑</t>
  </si>
  <si>
    <t>他人已上架仅查看</t>
  </si>
  <si>
    <t>6.7.11</t>
  </si>
  <si>
    <t>他人未上架</t>
  </si>
  <si>
    <t>列表不可见或不可操作</t>
  </si>
  <si>
    <t>导游列表不可见他人未上架线</t>
  </si>
  <si>
    <t>6.7.12</t>
  </si>
  <si>
    <t>管理员强制上架待审线（若产品允许）</t>
  </si>
  <si>
    <t>可不经通过直接上架；H5 可见；记录是否符合策略</t>
  </si>
  <si>
    <t>本轮未测管理员强制上架待审线</t>
  </si>
  <si>
    <t>6.7.13</t>
  </si>
  <si>
    <t>审核通过弹窗 · 立即上架</t>
  </si>
  <si>
    <t>点「立即上架」成功，状态=已上架；H5 可见</t>
  </si>
  <si>
    <t>67aaae7 新增 · 审核通过后立即上架</t>
  </si>
  <si>
    <t>6.7.14</t>
  </si>
  <si>
    <t>审核通过弹窗 · 稍后</t>
  </si>
  <si>
    <t>关闭弹窗不强制上架；路线保持已通过/未上架，可稍后上架</t>
  </si>
  <si>
    <t>67aaae7 新增 · 审核通过后稍后不上架</t>
  </si>
  <si>
    <t>6.9.1</t>
  </si>
  <si>
    <t>后台 Chat / 生成（路线编辑与新建）</t>
  </si>
  <si>
    <t>新建 · AI 生成对话</t>
  </si>
  <si>
    <t>可发送；有流式或进度反馈</t>
  </si>
  <si>
    <t>本轮未测新建 AI 对话</t>
  </si>
  <si>
    <t>6.9.2</t>
  </si>
  <si>
    <t>编辑页右侧助手</t>
  </si>
  <si>
    <t>可发送改节点/补站；不卡死</t>
  </si>
  <si>
    <t>本轮未测编辑页助手发送</t>
  </si>
  <si>
    <t>6.9.3</t>
  </si>
  <si>
    <t>工具状态</t>
  </si>
  <si>
    <t>running/done 展示正确</t>
  </si>
  <si>
    <t>6.9.4</t>
  </si>
  <si>
    <t>生成结果</t>
  </si>
  <si>
    <t>落入路线节点后可人工再编与上架</t>
  </si>
  <si>
    <t>6.9.5</t>
  </si>
  <si>
    <t>已上架时助手</t>
  </si>
  <si>
    <t>锁定提示；不可用或只读</t>
  </si>
  <si>
    <t>已上架提示锁定，助手不可用</t>
  </si>
  <si>
    <t>6.10.1</t>
  </si>
  <si>
    <t>B→C 闭环冒烟（发版必做）</t>
  </si>
  <si>
    <t>管理员：未上架线改标题 → 上架</t>
  </si>
  <si>
    <t>H5 展厅可见新标题</t>
  </si>
  <si>
    <t>改标题上架后 H5 可见</t>
  </si>
  <si>
    <t>6.10.2</t>
  </si>
  <si>
    <t>管理员：下线</t>
  </si>
  <si>
    <t>H5 刷新后不可见</t>
  </si>
  <si>
    <t>下线后 H5 刷新不可见</t>
  </si>
  <si>
    <t>6.10.3</t>
  </si>
  <si>
    <t>导游：提交审核 → 管理员通过 → 导游上架</t>
  </si>
  <si>
    <t>H5 可见</t>
  </si>
  <si>
    <t>导游审核流上架完成</t>
  </si>
  <si>
    <t>6.10.4</t>
  </si>
  <si>
    <t>H5 玩通该线上至少 1 站</t>
  </si>
  <si>
    <t>Submit / 解说完成成功</t>
  </si>
  <si>
    <t>H5 type11/1/6 可完成本站</t>
  </si>
  <si>
    <t>非导游新发线全链路游玩</t>
  </si>
  <si>
    <t>6.10.5</t>
  </si>
  <si>
    <t>（可选）含 type1/6/11 的发布线各抽 1 条</t>
  </si>
  <si>
    <t>与第 3 章题型验收交叉</t>
  </si>
  <si>
    <t>type1/6/11 已抽检</t>
  </si>
  <si>
    <t>6.11.1</t>
  </si>
  <si>
    <t>博物馆 / 馆藏（可选，本轮可不测）</t>
  </si>
  <si>
    <t>博物馆列表/新建/编辑</t>
  </si>
  <si>
    <t>本轮不测博物馆/馆藏</t>
  </si>
  <si>
    <t>6.11.2</t>
  </si>
  <si>
    <t>地图管理 CRUD</t>
  </si>
  <si>
    <t>6.11.3</t>
  </si>
  <si>
    <t>馆藏/展品 CRUD</t>
  </si>
  <si>
    <t>保存成功；图片上传成功</t>
  </si>
  <si>
    <t>6.11.4</t>
  </si>
  <si>
    <t>必填校验</t>
  </si>
  <si>
    <t>空提交有提示</t>
  </si>
  <si>
    <t>6.11.5</t>
  </si>
  <si>
    <t>删除（若允许）</t>
  </si>
  <si>
    <t>二次确认；关联数据行为符合预期</t>
  </si>
  <si>
    <t>6.12.1</t>
  </si>
  <si>
    <t>海报与解说生成（手动刷新 · 新增）</t>
  </si>
  <si>
    <t>打开路线海报</t>
  </si>
  <si>
    <t>可上传参考图（≤5）；可勾选「节点图」拉取候选</t>
  </si>
  <si>
    <t>67aaae7 新增 · 海报上传参考图/节点图</t>
  </si>
  <si>
    <t>6.12.2</t>
  </si>
  <si>
    <t>填提示词并生成</t>
  </si>
  <si>
    <t>提交成功；提示需刷新；**不**依赖自动轮询出结果</t>
  </si>
  <si>
    <t>67aaae7 新增 · 海报生成提交与手动刷新提示</t>
  </si>
  <si>
    <t>6.12.3</t>
  </si>
  <si>
    <t>手动刷新海报列表</t>
  </si>
  <si>
    <t>生成完成后列表出现新海报；可预览</t>
  </si>
  <si>
    <t>67aaae7 新增 · 手动刷新后海报列表更新</t>
  </si>
  <si>
    <t>6.12.4</t>
  </si>
  <si>
    <t>无参考图 / 空提示词</t>
  </si>
  <si>
    <t>不可提交或有明确校验</t>
  </si>
  <si>
    <t>67aaae7 新增 · 海报生成校验</t>
  </si>
  <si>
    <t>6.12.5</t>
  </si>
  <si>
    <t>站点编辑 · 提交生成音频</t>
  </si>
  <si>
    <t>提示「已提交…请刷新」；点刷新后可试听（就绪时）</t>
  </si>
  <si>
    <t>67aaae7 新增 · 解说音频提交后手动刷新</t>
  </si>
  <si>
    <t>6.12.6</t>
  </si>
  <si>
    <t>站点编辑 · AI 配图</t>
  </si>
  <si>
    <t>可上传参考 + 勾选已有配图；提交后手动刷新列表</t>
  </si>
  <si>
    <t>67aaae7 新增 · AI 配图提交后手动刷新</t>
  </si>
  <si>
    <t>6.12.7</t>
  </si>
  <si>
    <t>生成中反复刷新</t>
  </si>
  <si>
    <t>不白屏、不丢未保存正文；状态反馈合理</t>
  </si>
  <si>
    <t>67aaae7 新增 · 生成中刷新不丢正文</t>
  </si>
  <si>
    <t>发版前最小集（Smoke，约 30~45 分钟）</t>
  </si>
  <si>
    <t>时间紧时只跑本表；全量回归再跑「测试用例」全表。</t>
  </si>
  <si>
    <t>测试项</t>
  </si>
  <si>
    <t>S1</t>
  </si>
  <si>
    <t>发版 Smoke</t>
  </si>
  <si>
    <t>游客或账号登录成功</t>
  </si>
  <si>
    <t>S2</t>
  </si>
  <si>
    <t>展厅列表有已发布路线</t>
  </si>
  <si>
    <t>S3</t>
  </si>
  <si>
    <t>任选 1 条 type1 路线：开始 → 跳过识别/播片 → 答题 Submit → 本站结果</t>
  </si>
  <si>
    <t>S4</t>
  </si>
  <si>
    <t>任选 1 条 type6：拼图可提交</t>
  </si>
  <si>
    <t>S6</t>
  </si>
  <si>
    <t>任选 1 条 type11：解说页完成</t>
  </si>
  <si>
    <t>S7</t>
  </si>
  <si>
    <t>刷新后进度可恢复</t>
  </si>
  <si>
    <t>S8</t>
  </si>
  <si>
    <t>Ask 发送 1 条，SSE 有回复</t>
  </si>
  <si>
    <t>S9</t>
  </si>
  <si>
    <t>通关或至少完成 2 站后 map 状态正确</t>
  </si>
  <si>
    <t>S10</t>
  </si>
  <si>
    <t>管理员登录 + 打开路线编辑页无报错</t>
  </si>
  <si>
    <t>S11</t>
  </si>
  <si>
    <t>管理员：改标题/上架 → H5 可见；下线 → H5 不可见</t>
  </si>
  <si>
    <t>上架 H5 可见、下线 H5 不可见</t>
  </si>
  <si>
    <t>S12</t>
  </si>
  <si>
    <t>导游登录：菜单仅主题路线 + 我的讲解形象</t>
  </si>
  <si>
    <t>导游菜单仅两入口</t>
  </si>
  <si>
    <t>S13</t>
  </si>
  <si>
    <t>导游：提交审核 → 管理员通过（含立即上架弹窗抽测）→ 上架 → H5 可见</t>
  </si>
  <si>
    <t>相对 67aaae7 需重测：审核流需覆盖立即上架弹窗；旧结果=通过</t>
  </si>
  <si>
    <t>S14</t>
  </si>
  <si>
    <t>运营分析 / 导游管理 / 用户管理页可打开无报错（管理员）</t>
  </si>
  <si>
    <t>S15</t>
  </si>
  <si>
    <t>H5 FAB：展厅 / 导游 / 我的 可切换；导游列表可开</t>
  </si>
  <si>
    <t>S16</t>
  </si>
  <si>
    <t>H5 我的：资料与探索/历史入口可用；正式账号可退出</t>
  </si>
  <si>
    <t>S17</t>
  </si>
  <si>
    <t>后台导游打 1 个标签并保存 → H5 导游页可见该标签</t>
  </si>
  <si>
    <t>67aaae7 新增 · 后台导游标签 → H5 可见</t>
  </si>
  <si>
    <t>S18</t>
  </si>
  <si>
    <t>路线海报：提交生成后手动刷新可见结果（或明确生成中提示）</t>
  </si>
  <si>
    <t>67aaae7 新增 · 海报生成后手动刷新</t>
  </si>
  <si>
    <t>S19</t>
  </si>
  <si>
    <t>导游详情：讲解路线进 map 后可返回该导游</t>
  </si>
  <si>
    <t>S20</t>
  </si>
  <si>
    <t>导游详情：设为助手音色 → Ask 语音模式朗读用该音色</t>
  </si>
  <si>
    <t>S21</t>
  </si>
  <si>
    <t>Ask 语音模式：发送 1 条，文字流式 + 可听到合成语音（或明确 audio.error 且文字完成）</t>
  </si>
  <si>
    <t>S22</t>
  </si>
  <si>
    <t>Ask 文字模式：仅文字 SSE，不强制播报</t>
  </si>
  <si>
    <t>S23</t>
  </si>
  <si>
    <t>后台导游上传音/视频样本 → 刷新音色状态 → H5 可试听（若环境 FFMPEG 就绪）</t>
  </si>
  <si>
    <t>关联用例编号</t>
  </si>
  <si>
    <t>步骤</t>
  </si>
  <si>
    <t>期望</t>
  </si>
  <si>
    <t>实际</t>
  </si>
  <si>
    <t>严重度</t>
  </si>
  <si>
    <t>截图/录屏</t>
  </si>
  <si>
    <t>状态</t>
  </si>
  <si>
    <t>发现人</t>
  </si>
  <si>
    <t>发现日期</t>
  </si>
  <si>
    <t>H5·答题</t>
  </si>
  <si>
    <t>3.2.9 / S3</t>
  </si>
  <si>
    <t>type1 提交错误答案</t>
  </si>
  <si>
    <t>展示服务端错误文案，可重试</t>
  </si>
  <si>
    <t>页内提示 + toast 展示服务端 message</t>
  </si>
  <si>
    <t>已修</t>
  </si>
  <si>
    <t>gameplayError + 页内 alert + toast z-index</t>
  </si>
  <si>
    <t>H5·Ask</t>
  </si>
  <si>
    <t>4.2.1 / 4.2.2 / S8</t>
  </si>
  <si>
    <t>FAB 问→文字模式发送问题</t>
  </si>
  <si>
    <t>SSE 流式回复至 done</t>
  </si>
  <si>
    <t>heartbeat+sources 后约 60s event=error code=cancelled；重试仍超时</t>
  </si>
  <si>
    <t>待修</t>
  </si>
  <si>
    <t>前端错误态与重试可用</t>
  </si>
  <si>
    <t>D3</t>
  </si>
  <si>
    <t>H5·展厅</t>
  </si>
  <si>
    <t>进入/刷新展厅列表</t>
  </si>
  <si>
    <t>加载中骨架/loading，不闪空</t>
  </si>
  <si>
    <t>pending 且无列表时显示「加载中…」</t>
  </si>
  <si>
    <t>D4</t>
  </si>
  <si>
    <t>工程</t>
  </si>
  <si>
    <t>—</t>
  </si>
  <si>
    <t>加载页面</t>
  </si>
  <si>
    <t>无多余 404</t>
  </si>
  <si>
    <t>favicon.ico 404</t>
  </si>
  <si>
    <t>低优</t>
  </si>
  <si>
    <t>后台·路线生成</t>
  </si>
  <si>
    <t>按条件生成路线（青铜器，5 站）</t>
  </si>
  <si>
    <t>生成完成可编辑并上架</t>
  </si>
  <si>
    <t>列表长期「生成中」；puzzle 不全；上架 409 treasure.challenge.empty / challenge_count_mismatch</t>
  </si>
  <si>
    <t>routeId 2081238912474419200</t>
  </si>
  <si>
    <t>D6</t>
  </si>
  <si>
    <t>测试数据</t>
  </si>
  <si>
    <t>抽检 type5 / type10</t>
  </si>
  <si>
    <t>type5/type10 相关测试项已从用例集完全删除</t>
  </si>
  <si>
    <t>关闭</t>
  </si>
  <si>
    <t>原缺数据阻塞已作废</t>
  </si>
  <si>
    <t>后台·导游</t>
  </si>
  <si>
    <t>编辑导游资料并保存（无改文件）</t>
  </si>
  <si>
    <t>保存成功，列表/详情刷新</t>
  </si>
  <si>
    <t>POST /path-seeker/admin/api/guide/update-with-material 返回 500；前端提示「服务器内部错误」</t>
  </si>
  <si>
    <t>导游账号 douzong 编辑「窦总」</t>
  </si>
  <si>
    <t>已知临时策略（验收时勿当缺陷误报）</t>
  </si>
  <si>
    <t>以下为当前阶段明确策略，除非产品要求收紧，否则不作为 P0 缺陷</t>
  </si>
  <si>
    <t>现状</t>
  </si>
  <si>
    <t>识物 API</t>
  </si>
  <si>
    <t>未接公开接口；允许跳过识别，禁止「模拟识别成功」当正式能力</t>
  </si>
  <si>
    <t>播片门槛</t>
  </si>
  <si>
    <t>无公开闸门 API；可跳过；无 URL 可用默认片</t>
  </si>
  <si>
    <t>联调/缺接口时本地放行，避免卡死</t>
  </si>
  <si>
    <t>收藏</t>
  </si>
  <si>
    <t>通关后偏本地归档，未必同步服务端成就</t>
  </si>
  <si>
    <t>RecordActivity</t>
  </si>
  <si>
    <t>弱行为，失败静默</t>
  </si>
  <si>
    <t>Join</t>
  </si>
  <si>
    <t>仅用户在 map 主动开始/接着玩</t>
  </si>
  <si>
    <t>Ask 音频事件</t>
  </si>
  <si>
    <t>`audio.*` 为瞬态，不写入聊天历史回放；刷新后不会「重播」旧音频事件</t>
  </si>
  <si>
    <t>导游视频抽音频</t>
  </si>
  <si>
    <t>依赖部署 **FFMPEG_PATH**；环境未配时失败属运维，勿仅当前端缺陷</t>
  </si>
  <si>
    <t>助手音色</t>
  </si>
  <si>
    <t>仅本地持久化用户偏好 `voiceId`；换设备/清缓存需重设</t>
  </si>
  <si>
    <t>产品确认后需改为强制的项（单独跟踪）</t>
  </si>
  <si>
    <t>#</t>
  </si>
  <si>
    <t>确认结论</t>
  </si>
  <si>
    <t>测试是否改为强制</t>
  </si>
  <si>
    <t>识别必须真实成功才能进播片</t>
  </si>
  <si>
    <t>☐</t>
  </si>
  <si>
    <t>生产环境隐藏「跳过本站」</t>
  </si>
  <si>
    <t>P3</t>
  </si>
  <si>
    <t>播片必须真实 URL</t>
  </si>
  <si>
    <t>建议测试节奏</t>
  </si>
  <si>
    <t>场景</t>
  </si>
  <si>
    <t>跑哪些</t>
  </si>
  <si>
    <t>日常开发自测</t>
  </si>
  <si>
    <t>第 7 章 Smoke 相关项</t>
  </si>
  <si>
    <t>联调日 / 提测</t>
  </si>
  <si>
    <t>第 1~5 章 H5 全量 + 第 6.6~6.7 + 6.10 闭环</t>
  </si>
  <si>
    <t>发版前</t>
  </si>
  <si>
    <t>Smoke + 主路径 type1/6/11 全过 + 管理员上架/下线 + 导游审核流</t>
  </si>
  <si>
    <t>大改 runtime / adapter</t>
  </si>
  <si>
    <t>第 3.6 进度恢复 + 第 3.2/3.3 题型</t>
  </si>
  <si>
    <t>大改 Ask</t>
  </si>
  <si>
    <t>第 4 章全量</t>
  </si>
  <si>
    <t>大改后台发布流</t>
  </si>
  <si>
    <t>第 6.6 + 6.7 + 6.8 + 6.10</t>
  </si>
  <si>
    <t>大改后台权限/角色</t>
  </si>
  <si>
    <t>第 6.1 + 6.2 + 6.7</t>
  </si>
  <si>
    <t>大改 Shell 导航 / 导游 C 端</t>
  </si>
  <si>
    <t>第 2.4 + 2.5 + 2.6 + S15~S17、S19~S20</t>
  </si>
  <si>
    <t>大改海报 / 解说生成 UX</t>
  </si>
  <si>
    <t>第 6.12 + S18</t>
  </si>
  <si>
    <t>大改导游标签 / 音色素材</t>
  </si>
  <si>
    <t>第 6.4.6~6.4.13 + 2.5.3 + S17、S23</t>
  </si>
  <si>
    <t>大改 Ask 语音 / send-with-audio</t>
  </si>
  <si>
    <t>第 4.2 + 4.3 + S8、S21~S22</t>
  </si>
  <si>
    <t>本次测试结论（汇总页）</t>
  </si>
  <si>
    <t>内容</t>
  </si>
  <si>
    <t>总体结论</t>
  </si>
  <si>
    <t>P0 缺陷数</t>
  </si>
  <si>
    <t>0</t>
  </si>
  <si>
    <t>P1 缺陷数</t>
  </si>
  <si>
    <t>3</t>
  </si>
  <si>
    <t>P2 缺陷数</t>
  </si>
  <si>
    <t>1</t>
  </si>
  <si>
    <t>阻塞项</t>
  </si>
  <si>
    <t>遗留风险</t>
  </si>
  <si>
    <t>执行用例数（含跳过/阻塞）</t>
  </si>
  <si>
    <t>通过数</t>
  </si>
  <si>
    <t>失败数</t>
  </si>
  <si>
    <t>阻塞数</t>
  </si>
  <si>
    <t>跳过数</t>
  </si>
  <si>
    <t>未测数</t>
  </si>
  <si>
    <t>缺陷总数</t>
  </si>
  <si>
    <t>7</t>
  </si>
  <si>
    <t>签字</t>
  </si>
  <si>
    <t>统计提示</t>
  </si>
  <si>
    <t>结果来源：docs/functional-test-results.json（若存在）合并进本表；可在「测试用例」按「执行结果」筛选；COUNTIF(测试用例!J:J,"通过")</t>
  </si>
  <si>
    <t>2026-07-30</t>
  </si>
  <si>
    <t>Codex 浏览器实测（全量回归进行中）</t>
  </si>
  <si>
    <t>2026-07-30 在线环境实测</t>
  </si>
  <si>
    <t>未登录访问 /shell/hall 自动跳转 /auth?redirect=/shell/hall，无白屏</t>
  </si>
  <si>
    <t>Codex 浏览器实测</t>
  </si>
  <si>
    <t>本轮真实环境回归</t>
  </si>
  <si>
    <t>游客登录成功，进入展厅并建立可用游客会话</t>
  </si>
  <si>
    <t>testuser0726 登录成功，进入展厅，昵称显示“测0726”</t>
  </si>
  <si>
    <t>错误密码提示“账号或密码错误”，未进入系统</t>
  </si>
  <si>
    <t>刷新展厅后仍保持测0726登录态</t>
  </si>
  <si>
    <t>登录页布局和交互正常，无明显错位或白屏</t>
  </si>
  <si>
    <t>游客退出后登录正式账号，身份正确，未串用游客显示状态</t>
  </si>
  <si>
    <t>展厅显示7条已发布路线</t>
  </si>
  <si>
    <t>路线列表加载完成，无闪空和白屏</t>
  </si>
  <si>
    <t>无匹配筛选显示0条在展、没有匹配路线及空态说明</t>
  </si>
  <si>
    <t>标题“瓷器”筛选为1条；导游“zhm”筛选为2条；重置后恢复7条</t>
  </si>
  <si>
    <t>路线卡片可进入Map，展示主题、站点和进度</t>
  </si>
  <si>
    <t>路线卡片正常展示zhm、窦总等导游名</t>
  </si>
  <si>
    <t>通关后探索记录出现清代瓷器路线已完成归档</t>
  </si>
  <si>
    <t>刷新探索记录后已完成归档仍存在</t>
  </si>
  <si>
    <t>终局点击查看探索记录进入 /shell/archive 全量列表</t>
  </si>
  <si>
    <t>Shell FAB展开后显示展厅、导游、我的，当前页状态正确</t>
  </si>
  <si>
    <t>任务外FAB显示展厅、导游、我的、问</t>
  </si>
  <si>
    <t>任务中FAB显示路线/继续、展厅、导游、问</t>
  </si>
  <si>
    <t>点击问可打开Ask浮层</t>
  </si>
  <si>
    <t>FAB可展开和收起，展开后入口可点击切换</t>
  </si>
  <si>
    <t>FAB及直链均可进入导游列表，列表正常加载</t>
  </si>
  <si>
    <t>导游列表展示姓名、头像或占位及讲解路线数量，可进入详情</t>
  </si>
  <si>
    <t>窦总等导游在列表和详情展示“沉稳”标签</t>
  </si>
  <si>
    <t>进入窦总详情，展示简介、标签、试听状态和讲解路线，可返回列表</t>
  </si>
  <si>
    <t>无voiceSampleUrl时显示“暂无试听音频”，页面不崩溃</t>
  </si>
  <si>
    <t>无效guideId显示“无法打开导游 / 未找到该导游”，无白屏</t>
  </si>
  <si>
    <t>窦总详情显示3条已发布讲解路线，routeCount一致</t>
  </si>
  <si>
    <t>无已发布路线的导游在列表显示“尚无路线”</t>
  </si>
  <si>
    <t>从导游路线进入Map时URL携带fromGuide=1&amp;guideId=1，返回回到原导游详情</t>
  </si>
  <si>
    <t>我的页展示昵称、账号、进行中/已完成统计及探索入口</t>
  </si>
  <si>
    <t>通关后探索记录已完成列表显示路线、9/9和100分</t>
  </si>
  <si>
    <t>游客我的页显示绑定账号入口，可进入认证页</t>
  </si>
  <si>
    <t>Map展示路线Meta、9站列表和进入本站入口</t>
  </si>
  <si>
    <t>Map正确展示当前、待收听、待探索、可再走等站点状态</t>
  </si>
  <si>
    <t>已解锁站可进入brief或narration</t>
  </si>
  <si>
    <t>未解锁站保持待探索状态，不能越过当前进度直接闯关</t>
  </si>
  <si>
    <t>刷新和重新进入后从服务端恢复进度，最终保持9/9</t>
  </si>
  <si>
    <t>解说导览、纹样拼图、线性答题标签及站点排序正确</t>
  </si>
  <si>
    <t>进入拼图和答题站时直接落在当前闯关阶段，未乱跳</t>
  </si>
  <si>
    <t>type1选择正确答案“三种”提交成功并进入本站结果</t>
  </si>
  <si>
    <t>选择错误答案“一种”后提示“答案错误，再想想看”，可重新作答</t>
  </si>
  <si>
    <t>拼图与答题提示可用，使用后不破坏进度</t>
  </si>
  <si>
    <t>type1题面渲染、错误判定、正确提交和进度推进均正常</t>
  </si>
  <si>
    <t>3个type6拼图均可拖拽复原、提交并推进进度</t>
  </si>
  <si>
    <t>5个type11站从Map直接进入narration，不经过扫一扫或播片</t>
  </si>
  <si>
    <t>解说标题、导游、配图和内容区域展示正常</t>
  </si>
  <si>
    <t>阻塞</t>
  </si>
  <si>
    <t>无audio时显示“语音准备中”；本轮未等待到生成音频可播放</t>
  </si>
  <si>
    <t>5个解说站完成后均进入本站结果并更新Map完成状态</t>
  </si>
  <si>
    <t>完成站点后进入result，解说显示解说已完成，拼图显示拼好啦</t>
  </si>
  <si>
    <t>result返回Map后该站显示完成，下一站正确解锁</t>
  </si>
  <si>
    <t>连续完成9站，进度按1/9至9/9推进</t>
  </si>
  <si>
    <t>全部完成后可进入/finale，展示9/9和100分</t>
  </si>
  <si>
    <t>终局写入探索记录归档，可进入archive</t>
  </si>
  <si>
    <t>终局后再次进入同一路线仍为9/9完成态，无重复脏进度</t>
  </si>
  <si>
    <t>中途及完成后刷新均从服务端恢复正确进度</t>
  </si>
  <si>
    <t>FAB问入口可打开Ask浮层，关闭/切换不白屏</t>
  </si>
  <si>
    <t>Ask默认语音模式，可切换到文字模式，标题和输入提示同步变化</t>
  </si>
  <si>
    <t>文字模式发送“请用一句话介绍青花瓷”，进入正在回复并展示完整文本</t>
  </si>
  <si>
    <t>约10秒正常完成回复，输入框恢复；历史cancelled本次未复现</t>
  </si>
  <si>
    <t>语音模式发送问题，文字回复正常增量完成</t>
  </si>
  <si>
    <t>文字回复完成，但自动化无法确认扬声器实际播放；页面无可观察audio元素</t>
  </si>
  <si>
    <t>未设置助手音色时文字回复正常；默认音色实际听音需人工确认</t>
  </si>
  <si>
    <t>admin登录成功并进入后台主题路线页面</t>
  </si>
  <si>
    <t>运营分析页面正常打开，无白屏</t>
  </si>
  <si>
    <t>管理员导游管理页面正常打开</t>
  </si>
  <si>
    <t>管理员用户管理页面正常打开</t>
  </si>
  <si>
    <t>管理员主题路线列表正常显示路线、状态、筛选和操作入口</t>
  </si>
  <si>
    <t>打开未上架路线编辑弹窗，站点预览正常，无页面报错</t>
  </si>
  <si>
    <t>游客与testuser0726登录均成功</t>
  </si>
  <si>
    <t>type1错误提示正常，正确答案提交后完成路线</t>
  </si>
  <si>
    <t>3个type6拼图均完成拖拽复原和提交</t>
  </si>
  <si>
    <t>5个type11解说站完成</t>
  </si>
  <si>
    <t>多次刷新后进度正确恢复，最终9/9</t>
  </si>
  <si>
    <t>文字SSE约10秒完成；历史cancelled本次未复现</t>
  </si>
  <si>
    <t>完成9站，Map状态和终局正确</t>
  </si>
  <si>
    <t>admin登录并打开路线编辑弹窗无报错</t>
  </si>
  <si>
    <t>运营分析、导游管理、用户管理均正常打开</t>
  </si>
  <si>
    <t>H5 FAB展厅/导游/我的可切换，导游列表正常</t>
  </si>
  <si>
    <t>我的页资料、统计、探索和历史入口正常</t>
  </si>
  <si>
    <t>导游详情路线进入Map后可返回原导游详情</t>
  </si>
  <si>
    <t>语音模式文字回复完成；实际听音无法自动确认</t>
  </si>
  <si>
    <t>缺少人工听音或测试媒体条件</t>
  </si>
  <si>
    <t>文字模式仅文字SSE正常完成，无强制播报可见状态</t>
  </si>
  <si>
    <t>缺少允许上传的测试音频/视频样本</t>
  </si>
  <si>
    <t>阶段性通过：H5混合路线9/9核心闭环通过；全量208条尚未全部完成</t>
  </si>
  <si>
    <t>测试媒体缺失导致音视频上传/试听阻塞；语音Ask实际听音需人工确认</t>
  </si>
  <si>
    <t>终局用时显示94时13分，需确认跨会话计时口径；后台详细权限与发布流仍待执行</t>
  </si>
  <si>
    <t>Codex 浏览器实测（阶段性回写）</t>
  </si>
  <si>
    <t>执行结果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</si>
</sst>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</font>
    <font>
      <b/>
      <sz val="16"/>
      <color rgb="FF111827"/>
      <name val="Microsoft YaHei"/>
      <family val="2"/>
      <charset val="134"/>
    </font>
    <font>
      <b/>
      <sz val="12"/>
      <color rgb="FF1F2937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sz val="5"/>
      <color rgb="FF1F1F1F"/>
      <name val="Courier New"/>
    </font>
    <font>
      <sz val="9"/>
      <name val="FangSong"/>
      <family val="3"/>
      <charset val="134"/>
    </font>
    <font>
      <b/>
      <sz val="11"/>
      <color rgb="FFFFFFFF"/>
      <name val="Microsoft YaHe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FF6FF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D1FAE5"/>
      </patternFill>
    </fill>
    <fill>
      <patternFill patternType="solid">
        <fgColor rgb="FFFFFBEB"/>
      </patternFill>
    </fill>
    <fill>
      <patternFill patternType="solid">
        <fgColor rgb="FFE5E7EB"/>
      </patternFill>
    </fill>
    <fill>
      <patternFill patternType="solid">
        <fgColor rgb="FFFECACA"/>
      </patternFill>
    </fill>
    <fill>
      <patternFill patternType="solid">
        <fgColor rgb="FF7C2D1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0" borderId="1" xfId="0" applyFont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6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8">
    <dxf>
      <fill>
        <patternFill>
          <bgColor rgb="FFE5E7EB"/>
        </patternFill>
      </fill>
    </dxf>
    <dxf>
      <fill>
        <patternFill>
          <bgColor rgb="FFFDE68A"/>
        </patternFill>
      </fill>
    </dxf>
    <dxf>
      <fill>
        <patternFill>
          <bgColor rgb="FFFECACA"/>
        </patternFill>
      </fill>
    </dxf>
    <dxf>
      <fill>
        <patternFill>
          <bgColor rgb="FFD1FAE5"/>
        </patternFill>
      </fill>
    </dxf>
    <dxf>
      <fill>
        <patternFill>
          <bgColor rgb="FFE5E7EB"/>
        </patternFill>
      </fill>
    </dxf>
    <dxf>
      <fill>
        <patternFill>
          <bgColor rgb="FFFDE68A"/>
        </patternFill>
      </fill>
    </dxf>
    <dxf>
      <fill>
        <patternFill>
          <bgColor rgb="FFFECACA"/>
        </patternFill>
      </fill>
    </dxf>
    <dxf>
      <fill>
        <patternFill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1"/>
    </sheetView>
  </sheetViews>
  <sheetFormatPr baseColWidth="10" defaultColWidth="8.83203125" defaultRowHeight="14"/>
  <cols>
    <col min="1" max="1" width="18" customWidth="1"/>
    <col min="2" max="2" width="72" customWidth="1"/>
  </cols>
  <sheetData>
    <row r="1" spans="1:2" ht="37.25" customHeight="1">
      <c r="A1" s="25" t="s">
        <v>0</v>
      </c>
      <c r="B1" s="26"/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 ht="18">
      <c r="A6" s="2" t="s">
        <v>4</v>
      </c>
    </row>
    <row r="7" spans="1:2" ht="18">
      <c r="A7" s="3" t="s">
        <v>5</v>
      </c>
      <c r="B7" s="3" t="s">
        <v>6</v>
      </c>
    </row>
    <row r="8" spans="1:2" ht="16">
      <c r="A8" s="4" t="s">
        <v>7</v>
      </c>
      <c r="B8" s="5" t="s">
        <v>8</v>
      </c>
    </row>
    <row r="9" spans="1:2" ht="16">
      <c r="A9" s="4" t="s">
        <v>9</v>
      </c>
      <c r="B9" s="5" t="s">
        <v>10</v>
      </c>
    </row>
    <row r="10" spans="1:2" ht="16">
      <c r="A10" s="4" t="s">
        <v>11</v>
      </c>
      <c r="B10" s="5" t="s">
        <v>12</v>
      </c>
    </row>
    <row r="11" spans="1:2" ht="16">
      <c r="A11" s="4" t="s">
        <v>13</v>
      </c>
      <c r="B11" s="5" t="s">
        <v>14</v>
      </c>
    </row>
    <row r="12" spans="1:2" ht="16">
      <c r="A12" s="4" t="s">
        <v>15</v>
      </c>
      <c r="B12" s="5" t="s">
        <v>16</v>
      </c>
    </row>
    <row r="13" spans="1:2" ht="16">
      <c r="A13" s="4" t="s">
        <v>17</v>
      </c>
      <c r="B13" s="5" t="s">
        <v>18</v>
      </c>
    </row>
    <row r="14" spans="1:2" ht="16">
      <c r="A14" s="4" t="s">
        <v>19</v>
      </c>
      <c r="B14" s="5" t="s">
        <v>20</v>
      </c>
    </row>
    <row r="16" spans="1:2" ht="18">
      <c r="A16" s="2" t="s">
        <v>21</v>
      </c>
    </row>
    <row r="17" spans="1:2" ht="16">
      <c r="A17" s="6" t="s">
        <v>22</v>
      </c>
      <c r="B17" s="5" t="s">
        <v>23</v>
      </c>
    </row>
    <row r="18" spans="1:2" ht="16">
      <c r="A18" s="7" t="s">
        <v>24</v>
      </c>
      <c r="B18" s="5" t="s">
        <v>25</v>
      </c>
    </row>
    <row r="19" spans="1:2" ht="16">
      <c r="A19" s="8" t="s">
        <v>26</v>
      </c>
      <c r="B19" s="5" t="s">
        <v>27</v>
      </c>
    </row>
    <row r="21" spans="1:2" ht="18">
      <c r="A21" s="2" t="s">
        <v>28</v>
      </c>
    </row>
    <row r="22" spans="1:2">
      <c r="A22" t="s">
        <v>29</v>
      </c>
    </row>
    <row r="24" spans="1:2" ht="18">
      <c r="A24" s="2" t="s">
        <v>30</v>
      </c>
    </row>
    <row r="25" spans="1:2" ht="64" customHeight="1">
      <c r="A25" s="27" t="s">
        <v>31</v>
      </c>
      <c r="B25" s="26"/>
    </row>
    <row r="26" spans="1:2">
      <c r="A26" s="26"/>
      <c r="B26" s="26"/>
    </row>
    <row r="27" spans="1:2">
      <c r="A27" s="26"/>
      <c r="B27" s="26"/>
    </row>
  </sheetData>
  <mergeCells count="2">
    <mergeCell ref="A1:B1"/>
    <mergeCell ref="A25:B2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sqref="A1:C1"/>
    </sheetView>
  </sheetViews>
  <sheetFormatPr baseColWidth="10" defaultColWidth="8.83203125" defaultRowHeight="14"/>
  <cols>
    <col min="1" max="2" width="36" customWidth="1"/>
    <col min="3" max="3" width="28" customWidth="1"/>
    <col min="4" max="4" width="36" customWidth="1"/>
  </cols>
  <sheetData>
    <row r="1" spans="1:3" ht="34.75" customHeight="1">
      <c r="A1" s="25" t="s">
        <v>32</v>
      </c>
      <c r="B1" s="26"/>
      <c r="C1" s="26"/>
    </row>
    <row r="3" spans="1:3" ht="18">
      <c r="A3" s="3" t="s">
        <v>33</v>
      </c>
      <c r="B3" s="3" t="s">
        <v>34</v>
      </c>
      <c r="C3" s="3" t="s">
        <v>35</v>
      </c>
    </row>
    <row r="4" spans="1:3" ht="17">
      <c r="A4" s="9" t="s">
        <v>36</v>
      </c>
      <c r="B4" s="10" t="s">
        <v>1084</v>
      </c>
      <c r="C4" s="11" t="s">
        <v>37</v>
      </c>
    </row>
    <row r="5" spans="1:3" ht="17">
      <c r="A5" s="9" t="s">
        <v>38</v>
      </c>
      <c r="B5" s="10" t="s">
        <v>1085</v>
      </c>
      <c r="C5" s="11"/>
    </row>
    <row r="6" spans="1:3" ht="17">
      <c r="A6" s="9" t="s">
        <v>39</v>
      </c>
      <c r="B6" s="10" t="s">
        <v>40</v>
      </c>
      <c r="C6" s="11" t="s">
        <v>41</v>
      </c>
    </row>
    <row r="7" spans="1:3" ht="34">
      <c r="A7" s="9" t="s">
        <v>42</v>
      </c>
      <c r="B7" s="10" t="s">
        <v>43</v>
      </c>
      <c r="C7" s="11" t="s">
        <v>44</v>
      </c>
    </row>
    <row r="8" spans="1:3" ht="17">
      <c r="A8" s="9" t="s">
        <v>45</v>
      </c>
      <c r="B8" s="11" t="s">
        <v>1086</v>
      </c>
      <c r="C8" s="11"/>
    </row>
    <row r="9" spans="1:3" ht="34">
      <c r="A9" s="9" t="s">
        <v>46</v>
      </c>
      <c r="B9" s="10" t="s">
        <v>47</v>
      </c>
      <c r="C9" s="11"/>
    </row>
    <row r="10" spans="1:3" ht="34">
      <c r="A10" s="9" t="s">
        <v>48</v>
      </c>
      <c r="B10" s="10" t="s">
        <v>49</v>
      </c>
      <c r="C10" s="11"/>
    </row>
    <row r="11" spans="1:3" ht="51">
      <c r="A11" s="9" t="s">
        <v>50</v>
      </c>
      <c r="B11" s="10" t="s">
        <v>51</v>
      </c>
      <c r="C11" s="11"/>
    </row>
    <row r="12" spans="1:3" ht="17">
      <c r="A12" s="9" t="s">
        <v>52</v>
      </c>
      <c r="B12" s="10" t="s">
        <v>53</v>
      </c>
      <c r="C12" s="11" t="s">
        <v>54</v>
      </c>
    </row>
    <row r="13" spans="1:3" ht="17">
      <c r="A13" s="9" t="s">
        <v>55</v>
      </c>
      <c r="B13" s="10" t="s">
        <v>56</v>
      </c>
      <c r="C13" s="11" t="s">
        <v>57</v>
      </c>
    </row>
    <row r="14" spans="1:3" ht="51">
      <c r="A14" s="9" t="s">
        <v>58</v>
      </c>
      <c r="B14" s="10" t="s">
        <v>59</v>
      </c>
      <c r="C14" s="11" t="s">
        <v>60</v>
      </c>
    </row>
    <row r="16" spans="1:3" ht="18">
      <c r="A16" s="2" t="s">
        <v>61</v>
      </c>
    </row>
    <row r="17" spans="1:4" ht="18">
      <c r="A17" s="3" t="s">
        <v>62</v>
      </c>
      <c r="B17" s="3" t="s">
        <v>6</v>
      </c>
      <c r="C17" s="3" t="s">
        <v>63</v>
      </c>
      <c r="D17" s="3" t="s">
        <v>35</v>
      </c>
    </row>
    <row r="18" spans="1:4" ht="17">
      <c r="A18" s="11" t="s">
        <v>64</v>
      </c>
      <c r="B18" s="11" t="s">
        <v>65</v>
      </c>
      <c r="C18" s="12"/>
      <c r="D18" s="11"/>
    </row>
    <row r="19" spans="1:4" ht="17">
      <c r="A19" s="11" t="s">
        <v>66</v>
      </c>
      <c r="B19" s="11" t="s">
        <v>67</v>
      </c>
      <c r="C19" s="12"/>
      <c r="D19" s="11"/>
    </row>
    <row r="20" spans="1:4" ht="17">
      <c r="A20" s="11" t="s">
        <v>68</v>
      </c>
      <c r="B20" s="11" t="s">
        <v>69</v>
      </c>
      <c r="C20" s="24">
        <v>2.0809729444267899E+18</v>
      </c>
      <c r="D20" s="11"/>
    </row>
    <row r="21" spans="1:4" ht="17">
      <c r="A21" s="11" t="s">
        <v>70</v>
      </c>
      <c r="B21" s="11" t="s">
        <v>71</v>
      </c>
      <c r="C21" s="12"/>
      <c r="D21" s="11" t="s">
        <v>72</v>
      </c>
    </row>
    <row r="22" spans="1:4" ht="17">
      <c r="A22" s="11" t="s">
        <v>73</v>
      </c>
      <c r="B22" s="11" t="s">
        <v>74</v>
      </c>
      <c r="C22" s="24">
        <v>2.0809729444267899E+18</v>
      </c>
      <c r="D22" s="11"/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209"/>
  <sheetViews>
    <sheetView tabSelected="1" topLeftCell="A160" workbookViewId="0">
      <selection activeCell="I56" sqref="I56"/>
    </sheetView>
  </sheetViews>
  <sheetFormatPr baseColWidth="10" defaultColWidth="8.83203125" defaultRowHeight="14"/>
  <cols>
    <col min="1" max="1" width="12" customWidth="1"/>
    <col min="2" max="3" width="22" customWidth="1"/>
    <col min="4" max="4" width="28" customWidth="1"/>
    <col min="5" max="5" width="8" customWidth="1"/>
    <col min="6" max="6" width="10" customWidth="1"/>
    <col min="7" max="7" width="36" customWidth="1"/>
    <col min="8" max="8" width="40" customWidth="1"/>
    <col min="9" max="9" width="36" customWidth="1"/>
    <col min="10" max="10" width="10" customWidth="1"/>
    <col min="11" max="11" width="28" customWidth="1"/>
    <col min="12" max="12" width="12" customWidth="1"/>
    <col min="13" max="13" width="10" customWidth="1"/>
    <col min="14" max="14" width="12" customWidth="1"/>
    <col min="15" max="15" width="14" customWidth="1"/>
  </cols>
  <sheetData>
    <row r="1" spans="1:15" ht="29.25" customHeight="1">
      <c r="A1" s="3" t="s">
        <v>75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82</v>
      </c>
      <c r="I1" s="3" t="s">
        <v>83</v>
      </c>
      <c r="J1" s="29" t="s">
        <v>1179</v>
      </c>
      <c r="K1" s="3" t="s">
        <v>85</v>
      </c>
      <c r="L1" s="3" t="s">
        <v>86</v>
      </c>
      <c r="M1" s="3" t="s">
        <v>38</v>
      </c>
      <c r="N1" s="3" t="s">
        <v>87</v>
      </c>
      <c r="O1" s="3" t="s">
        <v>35</v>
      </c>
    </row>
    <row r="2" spans="1:15" ht="48" hidden="1" customHeight="1">
      <c r="A2" s="13" t="s">
        <v>88</v>
      </c>
      <c r="B2" s="11" t="s">
        <v>89</v>
      </c>
      <c r="C2" s="11" t="s">
        <v>90</v>
      </c>
      <c r="D2" s="11" t="s">
        <v>91</v>
      </c>
      <c r="E2" s="14" t="s">
        <v>24</v>
      </c>
      <c r="F2" s="13" t="s">
        <v>92</v>
      </c>
      <c r="G2" s="11" t="s">
        <v>93</v>
      </c>
      <c r="H2" s="11" t="s">
        <v>91</v>
      </c>
      <c r="I2" s="11" t="s">
        <v>94</v>
      </c>
      <c r="J2" s="15" t="s">
        <v>107</v>
      </c>
      <c r="K2" s="11" t="s">
        <v>1087</v>
      </c>
      <c r="L2" s="11"/>
      <c r="M2" s="13" t="s">
        <v>1088</v>
      </c>
      <c r="N2" s="13" t="s">
        <v>1084</v>
      </c>
      <c r="O2" s="11" t="s">
        <v>1089</v>
      </c>
    </row>
    <row r="3" spans="1:15" ht="48" hidden="1" customHeight="1">
      <c r="A3" s="13" t="s">
        <v>95</v>
      </c>
      <c r="B3" s="11" t="s">
        <v>89</v>
      </c>
      <c r="C3" s="11" t="s">
        <v>90</v>
      </c>
      <c r="D3" s="11" t="s">
        <v>96</v>
      </c>
      <c r="E3" s="14" t="s">
        <v>24</v>
      </c>
      <c r="F3" s="13" t="s">
        <v>92</v>
      </c>
      <c r="G3" s="11" t="s">
        <v>93</v>
      </c>
      <c r="H3" s="11" t="s">
        <v>96</v>
      </c>
      <c r="I3" s="11" t="s">
        <v>97</v>
      </c>
      <c r="J3" s="15" t="s">
        <v>107</v>
      </c>
      <c r="K3" s="11" t="s">
        <v>1090</v>
      </c>
      <c r="L3" s="11"/>
      <c r="M3" s="13" t="s">
        <v>1088</v>
      </c>
      <c r="N3" s="13" t="s">
        <v>1084</v>
      </c>
      <c r="O3" s="11" t="s">
        <v>1089</v>
      </c>
    </row>
    <row r="4" spans="1:15" ht="48" hidden="1" customHeight="1">
      <c r="A4" s="13" t="s">
        <v>98</v>
      </c>
      <c r="B4" s="11" t="s">
        <v>89</v>
      </c>
      <c r="C4" s="11" t="s">
        <v>90</v>
      </c>
      <c r="D4" s="11" t="s">
        <v>99</v>
      </c>
      <c r="E4" s="14" t="s">
        <v>24</v>
      </c>
      <c r="F4" s="13" t="s">
        <v>92</v>
      </c>
      <c r="G4" s="11" t="s">
        <v>93</v>
      </c>
      <c r="H4" s="11" t="s">
        <v>99</v>
      </c>
      <c r="I4" s="11" t="s">
        <v>100</v>
      </c>
      <c r="J4" s="15" t="s">
        <v>107</v>
      </c>
      <c r="K4" s="11" t="s">
        <v>1091</v>
      </c>
      <c r="L4" s="11"/>
      <c r="M4" s="13" t="s">
        <v>1088</v>
      </c>
      <c r="N4" s="13" t="s">
        <v>1084</v>
      </c>
      <c r="O4" s="11" t="s">
        <v>1089</v>
      </c>
    </row>
    <row r="5" spans="1:15" ht="48" hidden="1" customHeight="1">
      <c r="A5" s="13" t="s">
        <v>101</v>
      </c>
      <c r="B5" s="11" t="s">
        <v>89</v>
      </c>
      <c r="C5" s="11" t="s">
        <v>90</v>
      </c>
      <c r="D5" s="11" t="s">
        <v>102</v>
      </c>
      <c r="E5" s="14" t="s">
        <v>24</v>
      </c>
      <c r="F5" s="13" t="s">
        <v>92</v>
      </c>
      <c r="G5" s="11" t="s">
        <v>93</v>
      </c>
      <c r="H5" s="11" t="s">
        <v>102</v>
      </c>
      <c r="I5" s="11" t="s">
        <v>103</v>
      </c>
      <c r="J5" s="15" t="s">
        <v>107</v>
      </c>
      <c r="K5" s="11" t="s">
        <v>1092</v>
      </c>
      <c r="L5" s="11"/>
      <c r="M5" s="13" t="s">
        <v>1088</v>
      </c>
      <c r="N5" s="13" t="s">
        <v>1084</v>
      </c>
      <c r="O5" s="11" t="s">
        <v>1089</v>
      </c>
    </row>
    <row r="6" spans="1:15" ht="48" hidden="1" customHeight="1">
      <c r="A6" s="13" t="s">
        <v>104</v>
      </c>
      <c r="B6" s="11" t="s">
        <v>89</v>
      </c>
      <c r="C6" s="11" t="s">
        <v>90</v>
      </c>
      <c r="D6" s="11" t="s">
        <v>105</v>
      </c>
      <c r="E6" s="14" t="s">
        <v>24</v>
      </c>
      <c r="F6" s="13" t="s">
        <v>92</v>
      </c>
      <c r="G6" s="11" t="s">
        <v>93</v>
      </c>
      <c r="H6" s="11" t="s">
        <v>105</v>
      </c>
      <c r="I6" s="11" t="s">
        <v>106</v>
      </c>
      <c r="J6" s="15" t="s">
        <v>107</v>
      </c>
      <c r="K6" s="11" t="s">
        <v>108</v>
      </c>
      <c r="L6" s="11"/>
      <c r="M6" s="13" t="s">
        <v>109</v>
      </c>
      <c r="N6" s="13" t="s">
        <v>110</v>
      </c>
      <c r="O6" s="11"/>
    </row>
    <row r="7" spans="1:15" ht="48" hidden="1" customHeight="1">
      <c r="A7" s="13" t="s">
        <v>111</v>
      </c>
      <c r="B7" s="11" t="s">
        <v>89</v>
      </c>
      <c r="C7" s="11" t="s">
        <v>90</v>
      </c>
      <c r="D7" s="11" t="s">
        <v>112</v>
      </c>
      <c r="E7" s="14" t="s">
        <v>24</v>
      </c>
      <c r="F7" s="13" t="s">
        <v>92</v>
      </c>
      <c r="G7" s="11" t="s">
        <v>93</v>
      </c>
      <c r="H7" s="11" t="s">
        <v>112</v>
      </c>
      <c r="I7" s="11" t="s">
        <v>113</v>
      </c>
      <c r="J7" s="15" t="s">
        <v>107</v>
      </c>
      <c r="K7" s="11" t="s">
        <v>1093</v>
      </c>
      <c r="L7" s="11"/>
      <c r="M7" s="13" t="s">
        <v>1088</v>
      </c>
      <c r="N7" s="13" t="s">
        <v>1084</v>
      </c>
      <c r="O7" s="11" t="s">
        <v>1089</v>
      </c>
    </row>
    <row r="8" spans="1:15" ht="48" customHeight="1">
      <c r="A8" s="13" t="s">
        <v>114</v>
      </c>
      <c r="B8" s="11" t="s">
        <v>89</v>
      </c>
      <c r="C8" s="11" t="s">
        <v>90</v>
      </c>
      <c r="D8" s="11" t="s">
        <v>115</v>
      </c>
      <c r="E8" s="14" t="s">
        <v>24</v>
      </c>
      <c r="F8" s="13" t="s">
        <v>92</v>
      </c>
      <c r="G8" s="11" t="s">
        <v>93</v>
      </c>
      <c r="H8" s="11" t="s">
        <v>115</v>
      </c>
      <c r="I8" s="11" t="s">
        <v>116</v>
      </c>
      <c r="J8" s="16" t="s">
        <v>117</v>
      </c>
      <c r="K8" s="11" t="s">
        <v>118</v>
      </c>
      <c r="L8" s="11"/>
      <c r="M8" s="13" t="s">
        <v>109</v>
      </c>
      <c r="N8" s="13" t="s">
        <v>110</v>
      </c>
      <c r="O8" s="11"/>
    </row>
    <row r="9" spans="1:15" ht="48" hidden="1" customHeight="1">
      <c r="A9" s="13" t="s">
        <v>119</v>
      </c>
      <c r="B9" s="11" t="s">
        <v>89</v>
      </c>
      <c r="C9" s="11" t="s">
        <v>90</v>
      </c>
      <c r="D9" s="11" t="s">
        <v>120</v>
      </c>
      <c r="E9" s="14" t="s">
        <v>24</v>
      </c>
      <c r="F9" s="13" t="s">
        <v>92</v>
      </c>
      <c r="G9" s="11" t="s">
        <v>93</v>
      </c>
      <c r="H9" s="11" t="s">
        <v>120</v>
      </c>
      <c r="I9" s="11" t="s">
        <v>121</v>
      </c>
      <c r="J9" s="15" t="s">
        <v>107</v>
      </c>
      <c r="K9" s="11" t="s">
        <v>1094</v>
      </c>
      <c r="L9" s="11"/>
      <c r="M9" s="13" t="s">
        <v>1088</v>
      </c>
      <c r="N9" s="13" t="s">
        <v>1084</v>
      </c>
      <c r="O9" s="11" t="s">
        <v>1089</v>
      </c>
    </row>
    <row r="10" spans="1:15" ht="48" hidden="1" customHeight="1">
      <c r="A10" s="13" t="s">
        <v>122</v>
      </c>
      <c r="B10" s="11" t="s">
        <v>89</v>
      </c>
      <c r="C10" s="11" t="s">
        <v>123</v>
      </c>
      <c r="D10" s="11" t="s">
        <v>124</v>
      </c>
      <c r="E10" s="14" t="s">
        <v>24</v>
      </c>
      <c r="F10" s="13" t="s">
        <v>92</v>
      </c>
      <c r="G10" s="11" t="s">
        <v>93</v>
      </c>
      <c r="H10" s="11" t="s">
        <v>124</v>
      </c>
      <c r="I10" s="11" t="s">
        <v>125</v>
      </c>
      <c r="J10" s="15" t="s">
        <v>107</v>
      </c>
      <c r="K10" s="11" t="s">
        <v>126</v>
      </c>
      <c r="L10" s="11"/>
      <c r="M10" s="13" t="s">
        <v>109</v>
      </c>
      <c r="N10" s="13" t="s">
        <v>110</v>
      </c>
      <c r="O10" s="11"/>
    </row>
    <row r="11" spans="1:15" ht="48" hidden="1" customHeight="1">
      <c r="A11" s="13" t="s">
        <v>127</v>
      </c>
      <c r="B11" s="11" t="s">
        <v>89</v>
      </c>
      <c r="C11" s="11" t="s">
        <v>123</v>
      </c>
      <c r="D11" s="11" t="s">
        <v>128</v>
      </c>
      <c r="E11" s="14" t="s">
        <v>24</v>
      </c>
      <c r="F11" s="13" t="s">
        <v>92</v>
      </c>
      <c r="G11" s="11" t="s">
        <v>93</v>
      </c>
      <c r="H11" s="11" t="s">
        <v>128</v>
      </c>
      <c r="I11" s="11" t="s">
        <v>129</v>
      </c>
      <c r="J11" s="15" t="s">
        <v>107</v>
      </c>
      <c r="K11" s="11" t="s">
        <v>130</v>
      </c>
      <c r="L11" s="11"/>
      <c r="M11" s="13" t="s">
        <v>109</v>
      </c>
      <c r="N11" s="13" t="s">
        <v>110</v>
      </c>
      <c r="O11" s="11"/>
    </row>
    <row r="12" spans="1:15" ht="48" hidden="1" customHeight="1">
      <c r="A12" s="13" t="s">
        <v>131</v>
      </c>
      <c r="B12" s="11" t="s">
        <v>89</v>
      </c>
      <c r="C12" s="11" t="s">
        <v>123</v>
      </c>
      <c r="D12" s="11" t="s">
        <v>132</v>
      </c>
      <c r="E12" s="14" t="s">
        <v>24</v>
      </c>
      <c r="F12" s="13" t="s">
        <v>92</v>
      </c>
      <c r="G12" s="11" t="s">
        <v>93</v>
      </c>
      <c r="H12" s="11" t="s">
        <v>132</v>
      </c>
      <c r="I12" s="11" t="s">
        <v>133</v>
      </c>
      <c r="J12" s="15" t="s">
        <v>107</v>
      </c>
      <c r="K12" s="11" t="s">
        <v>1095</v>
      </c>
      <c r="L12" s="11"/>
      <c r="M12" s="13" t="s">
        <v>1088</v>
      </c>
      <c r="N12" s="13" t="s">
        <v>1084</v>
      </c>
      <c r="O12" s="11" t="s">
        <v>1089</v>
      </c>
    </row>
    <row r="13" spans="1:15" ht="48" hidden="1" customHeight="1">
      <c r="A13" s="13" t="s">
        <v>134</v>
      </c>
      <c r="B13" s="11" t="s">
        <v>135</v>
      </c>
      <c r="C13" s="11" t="s">
        <v>136</v>
      </c>
      <c r="D13" s="11" t="s">
        <v>100</v>
      </c>
      <c r="E13" s="14" t="s">
        <v>24</v>
      </c>
      <c r="F13" s="13" t="s">
        <v>92</v>
      </c>
      <c r="G13" s="11" t="s">
        <v>137</v>
      </c>
      <c r="H13" s="11" t="s">
        <v>100</v>
      </c>
      <c r="I13" s="11" t="s">
        <v>138</v>
      </c>
      <c r="J13" s="15" t="s">
        <v>107</v>
      </c>
      <c r="K13" s="11" t="s">
        <v>1096</v>
      </c>
      <c r="L13" s="11"/>
      <c r="M13" s="13" t="s">
        <v>1088</v>
      </c>
      <c r="N13" s="13" t="s">
        <v>1084</v>
      </c>
      <c r="O13" s="11" t="s">
        <v>1089</v>
      </c>
    </row>
    <row r="14" spans="1:15" ht="48" hidden="1" customHeight="1">
      <c r="A14" s="13" t="s">
        <v>139</v>
      </c>
      <c r="B14" s="11" t="s">
        <v>135</v>
      </c>
      <c r="C14" s="11" t="s">
        <v>136</v>
      </c>
      <c r="D14" s="11" t="s">
        <v>140</v>
      </c>
      <c r="E14" s="14" t="s">
        <v>24</v>
      </c>
      <c r="F14" s="13" t="s">
        <v>92</v>
      </c>
      <c r="G14" s="11" t="s">
        <v>137</v>
      </c>
      <c r="H14" s="11" t="s">
        <v>140</v>
      </c>
      <c r="I14" s="11" t="s">
        <v>141</v>
      </c>
      <c r="J14" s="15" t="s">
        <v>107</v>
      </c>
      <c r="K14" s="11" t="s">
        <v>1097</v>
      </c>
      <c r="L14" s="11"/>
      <c r="M14" s="13" t="s">
        <v>1088</v>
      </c>
      <c r="N14" s="13" t="s">
        <v>1084</v>
      </c>
      <c r="O14" s="11" t="s">
        <v>1089</v>
      </c>
    </row>
    <row r="15" spans="1:15" ht="48" hidden="1" customHeight="1">
      <c r="A15" s="13" t="s">
        <v>142</v>
      </c>
      <c r="B15" s="11" t="s">
        <v>135</v>
      </c>
      <c r="C15" s="11" t="s">
        <v>136</v>
      </c>
      <c r="D15" s="11" t="s">
        <v>143</v>
      </c>
      <c r="E15" s="14" t="s">
        <v>24</v>
      </c>
      <c r="F15" s="13" t="s">
        <v>92</v>
      </c>
      <c r="G15" s="11" t="s">
        <v>137</v>
      </c>
      <c r="H15" s="11" t="s">
        <v>143</v>
      </c>
      <c r="I15" s="11" t="s">
        <v>144</v>
      </c>
      <c r="J15" s="15" t="s">
        <v>107</v>
      </c>
      <c r="K15" s="11" t="s">
        <v>1098</v>
      </c>
      <c r="L15" s="11"/>
      <c r="M15" s="13" t="s">
        <v>1088</v>
      </c>
      <c r="N15" s="13" t="s">
        <v>1084</v>
      </c>
      <c r="O15" s="11" t="s">
        <v>1089</v>
      </c>
    </row>
    <row r="16" spans="1:15" ht="48" hidden="1" customHeight="1">
      <c r="A16" s="13" t="s">
        <v>145</v>
      </c>
      <c r="B16" s="11" t="s">
        <v>135</v>
      </c>
      <c r="C16" s="11" t="s">
        <v>136</v>
      </c>
      <c r="D16" s="11" t="s">
        <v>146</v>
      </c>
      <c r="E16" s="14" t="s">
        <v>24</v>
      </c>
      <c r="F16" s="13" t="s">
        <v>92</v>
      </c>
      <c r="G16" s="11" t="s">
        <v>137</v>
      </c>
      <c r="H16" s="11" t="s">
        <v>146</v>
      </c>
      <c r="I16" s="11" t="s">
        <v>147</v>
      </c>
      <c r="J16" s="13" t="s">
        <v>107</v>
      </c>
      <c r="K16" s="11" t="s">
        <v>1099</v>
      </c>
      <c r="L16" s="11"/>
      <c r="M16" s="13" t="s">
        <v>1088</v>
      </c>
      <c r="N16" s="13" t="s">
        <v>1084</v>
      </c>
      <c r="O16" s="11" t="s">
        <v>1089</v>
      </c>
    </row>
    <row r="17" spans="1:15" ht="48" hidden="1" customHeight="1">
      <c r="A17" s="13" t="s">
        <v>148</v>
      </c>
      <c r="B17" s="11" t="s">
        <v>135</v>
      </c>
      <c r="C17" s="11" t="s">
        <v>136</v>
      </c>
      <c r="D17" s="11" t="s">
        <v>149</v>
      </c>
      <c r="E17" s="14" t="s">
        <v>24</v>
      </c>
      <c r="F17" s="13" t="s">
        <v>92</v>
      </c>
      <c r="G17" s="11" t="s">
        <v>137</v>
      </c>
      <c r="H17" s="11" t="s">
        <v>149</v>
      </c>
      <c r="I17" s="11" t="s">
        <v>150</v>
      </c>
      <c r="J17" s="15" t="s">
        <v>107</v>
      </c>
      <c r="K17" s="11" t="s">
        <v>1100</v>
      </c>
      <c r="L17" s="11"/>
      <c r="M17" s="13" t="s">
        <v>1088</v>
      </c>
      <c r="N17" s="13" t="s">
        <v>1084</v>
      </c>
      <c r="O17" s="11" t="s">
        <v>1089</v>
      </c>
    </row>
    <row r="18" spans="1:15" ht="48" customHeight="1">
      <c r="A18" s="13" t="s">
        <v>151</v>
      </c>
      <c r="B18" s="11" t="s">
        <v>135</v>
      </c>
      <c r="C18" s="11" t="s">
        <v>136</v>
      </c>
      <c r="D18" s="11" t="s">
        <v>152</v>
      </c>
      <c r="E18" s="14" t="s">
        <v>24</v>
      </c>
      <c r="F18" s="13" t="s">
        <v>92</v>
      </c>
      <c r="G18" s="11" t="s">
        <v>137</v>
      </c>
      <c r="H18" s="11" t="s">
        <v>152</v>
      </c>
      <c r="I18" s="11" t="s">
        <v>153</v>
      </c>
      <c r="J18" s="16" t="s">
        <v>117</v>
      </c>
      <c r="K18" s="11" t="s">
        <v>154</v>
      </c>
      <c r="L18" s="11"/>
      <c r="M18" s="13" t="s">
        <v>109</v>
      </c>
      <c r="N18" s="13" t="s">
        <v>110</v>
      </c>
      <c r="O18" s="11"/>
    </row>
    <row r="19" spans="1:15" ht="48" hidden="1" customHeight="1">
      <c r="A19" s="13" t="s">
        <v>155</v>
      </c>
      <c r="B19" s="11" t="s">
        <v>135</v>
      </c>
      <c r="C19" s="11" t="s">
        <v>136</v>
      </c>
      <c r="D19" s="11" t="s">
        <v>156</v>
      </c>
      <c r="E19" s="14" t="s">
        <v>24</v>
      </c>
      <c r="F19" s="13" t="s">
        <v>92</v>
      </c>
      <c r="G19" s="11" t="s">
        <v>137</v>
      </c>
      <c r="H19" s="11" t="s">
        <v>156</v>
      </c>
      <c r="I19" s="11" t="s">
        <v>157</v>
      </c>
      <c r="J19" s="13" t="s">
        <v>107</v>
      </c>
      <c r="K19" s="11" t="s">
        <v>1101</v>
      </c>
      <c r="L19" s="11"/>
      <c r="M19" s="13" t="s">
        <v>1088</v>
      </c>
      <c r="N19" s="13" t="s">
        <v>1084</v>
      </c>
      <c r="O19" s="11" t="s">
        <v>1089</v>
      </c>
    </row>
    <row r="20" spans="1:15" ht="48" hidden="1" customHeight="1">
      <c r="A20" s="13" t="s">
        <v>158</v>
      </c>
      <c r="B20" s="11" t="s">
        <v>135</v>
      </c>
      <c r="C20" s="11" t="s">
        <v>159</v>
      </c>
      <c r="D20" s="11" t="s">
        <v>160</v>
      </c>
      <c r="E20" s="14" t="s">
        <v>24</v>
      </c>
      <c r="F20" s="13" t="s">
        <v>92</v>
      </c>
      <c r="G20" s="11" t="s">
        <v>137</v>
      </c>
      <c r="H20" s="11" t="s">
        <v>160</v>
      </c>
      <c r="I20" s="11" t="s">
        <v>161</v>
      </c>
      <c r="J20" s="15" t="s">
        <v>107</v>
      </c>
      <c r="K20" s="11" t="s">
        <v>162</v>
      </c>
      <c r="L20" s="11"/>
      <c r="M20" s="13" t="s">
        <v>109</v>
      </c>
      <c r="N20" s="13" t="s">
        <v>110</v>
      </c>
      <c r="O20" s="11"/>
    </row>
    <row r="21" spans="1:15" ht="48" hidden="1" customHeight="1">
      <c r="A21" s="13" t="s">
        <v>163</v>
      </c>
      <c r="B21" s="11" t="s">
        <v>135</v>
      </c>
      <c r="C21" s="11" t="s">
        <v>159</v>
      </c>
      <c r="D21" s="11" t="s">
        <v>164</v>
      </c>
      <c r="E21" s="14" t="s">
        <v>24</v>
      </c>
      <c r="F21" s="13" t="s">
        <v>92</v>
      </c>
      <c r="G21" s="11" t="s">
        <v>137</v>
      </c>
      <c r="H21" s="11" t="s">
        <v>164</v>
      </c>
      <c r="I21" s="11" t="s">
        <v>165</v>
      </c>
      <c r="J21" s="15" t="s">
        <v>107</v>
      </c>
      <c r="K21" s="11" t="s">
        <v>166</v>
      </c>
      <c r="L21" s="11"/>
      <c r="M21" s="13" t="s">
        <v>109</v>
      </c>
      <c r="N21" s="13" t="s">
        <v>110</v>
      </c>
      <c r="O21" s="11"/>
    </row>
    <row r="22" spans="1:15" ht="48" customHeight="1">
      <c r="A22" s="13" t="s">
        <v>167</v>
      </c>
      <c r="B22" s="11" t="s">
        <v>135</v>
      </c>
      <c r="C22" s="11" t="s">
        <v>159</v>
      </c>
      <c r="D22" s="11" t="s">
        <v>168</v>
      </c>
      <c r="E22" s="14" t="s">
        <v>24</v>
      </c>
      <c r="F22" s="13" t="s">
        <v>92</v>
      </c>
      <c r="G22" s="11" t="s">
        <v>137</v>
      </c>
      <c r="H22" s="11" t="s">
        <v>168</v>
      </c>
      <c r="I22" s="11" t="s">
        <v>169</v>
      </c>
      <c r="J22" s="16" t="s">
        <v>117</v>
      </c>
      <c r="K22" s="11" t="s">
        <v>170</v>
      </c>
      <c r="L22" s="11"/>
      <c r="M22" s="13" t="s">
        <v>109</v>
      </c>
      <c r="N22" s="13" t="s">
        <v>110</v>
      </c>
      <c r="O22" s="11" t="s">
        <v>171</v>
      </c>
    </row>
    <row r="23" spans="1:15" ht="48" hidden="1" customHeight="1">
      <c r="A23" s="13" t="s">
        <v>172</v>
      </c>
      <c r="B23" s="11" t="s">
        <v>135</v>
      </c>
      <c r="C23" s="11" t="s">
        <v>159</v>
      </c>
      <c r="D23" s="11" t="s">
        <v>173</v>
      </c>
      <c r="E23" s="14" t="s">
        <v>24</v>
      </c>
      <c r="F23" s="13" t="s">
        <v>92</v>
      </c>
      <c r="G23" s="11" t="s">
        <v>137</v>
      </c>
      <c r="H23" s="11" t="s">
        <v>173</v>
      </c>
      <c r="I23" s="11" t="s">
        <v>174</v>
      </c>
      <c r="J23" s="15" t="s">
        <v>107</v>
      </c>
      <c r="K23" s="11" t="s">
        <v>175</v>
      </c>
      <c r="L23" s="11"/>
      <c r="M23" s="13" t="s">
        <v>109</v>
      </c>
      <c r="N23" s="13" t="s">
        <v>110</v>
      </c>
      <c r="O23" s="11" t="s">
        <v>176</v>
      </c>
    </row>
    <row r="24" spans="1:15" ht="48" customHeight="1">
      <c r="A24" s="13" t="s">
        <v>177</v>
      </c>
      <c r="B24" s="11" t="s">
        <v>135</v>
      </c>
      <c r="C24" s="11" t="s">
        <v>159</v>
      </c>
      <c r="D24" s="11" t="s">
        <v>178</v>
      </c>
      <c r="E24" s="14" t="s">
        <v>24</v>
      </c>
      <c r="F24" s="13" t="s">
        <v>92</v>
      </c>
      <c r="G24" s="11" t="s">
        <v>137</v>
      </c>
      <c r="H24" s="11" t="s">
        <v>178</v>
      </c>
      <c r="I24" s="11" t="s">
        <v>179</v>
      </c>
      <c r="J24" s="13" t="s">
        <v>180</v>
      </c>
      <c r="K24" s="11"/>
      <c r="L24" s="11"/>
      <c r="M24" s="13"/>
      <c r="N24" s="13"/>
      <c r="O24" s="11" t="s">
        <v>181</v>
      </c>
    </row>
    <row r="25" spans="1:15" ht="48" hidden="1" customHeight="1">
      <c r="A25" s="13" t="s">
        <v>182</v>
      </c>
      <c r="B25" s="11" t="s">
        <v>135</v>
      </c>
      <c r="C25" s="11" t="s">
        <v>183</v>
      </c>
      <c r="D25" s="11" t="s">
        <v>184</v>
      </c>
      <c r="E25" s="14" t="s">
        <v>24</v>
      </c>
      <c r="F25" s="13" t="s">
        <v>92</v>
      </c>
      <c r="G25" s="11" t="s">
        <v>137</v>
      </c>
      <c r="H25" s="11" t="s">
        <v>184</v>
      </c>
      <c r="I25" s="11" t="s">
        <v>185</v>
      </c>
      <c r="J25" s="15" t="s">
        <v>107</v>
      </c>
      <c r="K25" s="11" t="s">
        <v>186</v>
      </c>
      <c r="L25" s="11"/>
      <c r="M25" s="13" t="s">
        <v>109</v>
      </c>
      <c r="N25" s="13" t="s">
        <v>110</v>
      </c>
      <c r="O25" s="11"/>
    </row>
    <row r="26" spans="1:15" ht="48" hidden="1" customHeight="1">
      <c r="A26" s="13" t="s">
        <v>187</v>
      </c>
      <c r="B26" s="11" t="s">
        <v>135</v>
      </c>
      <c r="C26" s="11" t="s">
        <v>183</v>
      </c>
      <c r="D26" s="11" t="s">
        <v>188</v>
      </c>
      <c r="E26" s="14" t="s">
        <v>24</v>
      </c>
      <c r="F26" s="13" t="s">
        <v>92</v>
      </c>
      <c r="G26" s="11" t="s">
        <v>137</v>
      </c>
      <c r="H26" s="11" t="s">
        <v>188</v>
      </c>
      <c r="I26" s="11" t="s">
        <v>189</v>
      </c>
      <c r="J26" s="16" t="s">
        <v>107</v>
      </c>
      <c r="K26" s="11" t="s">
        <v>1102</v>
      </c>
      <c r="L26" s="11"/>
      <c r="M26" s="13" t="s">
        <v>1088</v>
      </c>
      <c r="N26" s="13" t="s">
        <v>1084</v>
      </c>
      <c r="O26" s="11" t="s">
        <v>1089</v>
      </c>
    </row>
    <row r="27" spans="1:15" ht="48" hidden="1" customHeight="1">
      <c r="A27" s="13" t="s">
        <v>190</v>
      </c>
      <c r="B27" s="11" t="s">
        <v>135</v>
      </c>
      <c r="C27" s="11" t="s">
        <v>183</v>
      </c>
      <c r="D27" s="11" t="s">
        <v>191</v>
      </c>
      <c r="E27" s="14" t="s">
        <v>24</v>
      </c>
      <c r="F27" s="13" t="s">
        <v>92</v>
      </c>
      <c r="G27" s="11" t="s">
        <v>137</v>
      </c>
      <c r="H27" s="11" t="s">
        <v>191</v>
      </c>
      <c r="I27" s="11" t="s">
        <v>192</v>
      </c>
      <c r="J27" s="16" t="s">
        <v>107</v>
      </c>
      <c r="K27" s="11" t="s">
        <v>1103</v>
      </c>
      <c r="L27" s="11"/>
      <c r="M27" s="13" t="s">
        <v>1088</v>
      </c>
      <c r="N27" s="13" t="s">
        <v>1084</v>
      </c>
      <c r="O27" s="11" t="s">
        <v>1089</v>
      </c>
    </row>
    <row r="28" spans="1:15" ht="48" hidden="1" customHeight="1">
      <c r="A28" s="13" t="s">
        <v>193</v>
      </c>
      <c r="B28" s="11" t="s">
        <v>135</v>
      </c>
      <c r="C28" s="11" t="s">
        <v>183</v>
      </c>
      <c r="D28" s="11" t="s">
        <v>194</v>
      </c>
      <c r="E28" s="14" t="s">
        <v>24</v>
      </c>
      <c r="F28" s="13" t="s">
        <v>92</v>
      </c>
      <c r="G28" s="11" t="s">
        <v>137</v>
      </c>
      <c r="H28" s="11" t="s">
        <v>194</v>
      </c>
      <c r="I28" s="11" t="s">
        <v>195</v>
      </c>
      <c r="J28" s="13" t="s">
        <v>107</v>
      </c>
      <c r="K28" s="11" t="s">
        <v>1104</v>
      </c>
      <c r="L28" s="11"/>
      <c r="M28" s="13" t="s">
        <v>1088</v>
      </c>
      <c r="N28" s="13" t="s">
        <v>1084</v>
      </c>
      <c r="O28" s="11" t="s">
        <v>1089</v>
      </c>
    </row>
    <row r="29" spans="1:15" ht="48" hidden="1" customHeight="1">
      <c r="A29" s="13" t="s">
        <v>196</v>
      </c>
      <c r="B29" s="11" t="s">
        <v>135</v>
      </c>
      <c r="C29" s="11" t="s">
        <v>197</v>
      </c>
      <c r="D29" s="11" t="s">
        <v>198</v>
      </c>
      <c r="E29" s="14" t="s">
        <v>24</v>
      </c>
      <c r="F29" s="13" t="s">
        <v>92</v>
      </c>
      <c r="G29" s="11" t="s">
        <v>137</v>
      </c>
      <c r="H29" s="11" t="s">
        <v>198</v>
      </c>
      <c r="I29" s="11" t="s">
        <v>199</v>
      </c>
      <c r="J29" s="13" t="s">
        <v>107</v>
      </c>
      <c r="K29" s="11" t="s">
        <v>1105</v>
      </c>
      <c r="L29" s="11"/>
      <c r="M29" s="13" t="s">
        <v>1088</v>
      </c>
      <c r="N29" s="13" t="s">
        <v>1084</v>
      </c>
      <c r="O29" s="11" t="s">
        <v>1089</v>
      </c>
    </row>
    <row r="30" spans="1:15" ht="48" hidden="1" customHeight="1">
      <c r="A30" s="13" t="s">
        <v>200</v>
      </c>
      <c r="B30" s="11" t="s">
        <v>135</v>
      </c>
      <c r="C30" s="11" t="s">
        <v>197</v>
      </c>
      <c r="D30" s="11" t="s">
        <v>201</v>
      </c>
      <c r="E30" s="14" t="s">
        <v>24</v>
      </c>
      <c r="F30" s="13" t="s">
        <v>92</v>
      </c>
      <c r="G30" s="11" t="s">
        <v>137</v>
      </c>
      <c r="H30" s="11" t="s">
        <v>201</v>
      </c>
      <c r="I30" s="11" t="s">
        <v>202</v>
      </c>
      <c r="J30" s="13" t="s">
        <v>107</v>
      </c>
      <c r="K30" s="11" t="s">
        <v>1106</v>
      </c>
      <c r="L30" s="11"/>
      <c r="M30" s="13" t="s">
        <v>1088</v>
      </c>
      <c r="N30" s="13" t="s">
        <v>1084</v>
      </c>
      <c r="O30" s="11" t="s">
        <v>1089</v>
      </c>
    </row>
    <row r="31" spans="1:15" ht="48" hidden="1" customHeight="1">
      <c r="A31" s="13" t="s">
        <v>203</v>
      </c>
      <c r="B31" s="11" t="s">
        <v>135</v>
      </c>
      <c r="C31" s="11" t="s">
        <v>197</v>
      </c>
      <c r="D31" s="11" t="s">
        <v>204</v>
      </c>
      <c r="E31" s="14" t="s">
        <v>24</v>
      </c>
      <c r="F31" s="13" t="s">
        <v>92</v>
      </c>
      <c r="G31" s="11" t="s">
        <v>137</v>
      </c>
      <c r="H31" s="11" t="s">
        <v>204</v>
      </c>
      <c r="I31" s="11" t="s">
        <v>205</v>
      </c>
      <c r="J31" s="13" t="s">
        <v>107</v>
      </c>
      <c r="K31" s="11" t="s">
        <v>1107</v>
      </c>
      <c r="L31" s="11"/>
      <c r="M31" s="13" t="s">
        <v>1088</v>
      </c>
      <c r="N31" s="13" t="s">
        <v>1084</v>
      </c>
      <c r="O31" s="11" t="s">
        <v>1089</v>
      </c>
    </row>
    <row r="32" spans="1:15" ht="48" hidden="1" customHeight="1">
      <c r="A32" s="13" t="s">
        <v>206</v>
      </c>
      <c r="B32" s="11" t="s">
        <v>135</v>
      </c>
      <c r="C32" s="11" t="s">
        <v>197</v>
      </c>
      <c r="D32" s="11" t="s">
        <v>207</v>
      </c>
      <c r="E32" s="14" t="s">
        <v>24</v>
      </c>
      <c r="F32" s="13" t="s">
        <v>92</v>
      </c>
      <c r="G32" s="11" t="s">
        <v>137</v>
      </c>
      <c r="H32" s="11" t="s">
        <v>207</v>
      </c>
      <c r="I32" s="11" t="s">
        <v>208</v>
      </c>
      <c r="J32" s="15" t="s">
        <v>107</v>
      </c>
      <c r="K32" s="11" t="s">
        <v>1108</v>
      </c>
      <c r="L32" s="11"/>
      <c r="M32" s="13" t="s">
        <v>1088</v>
      </c>
      <c r="N32" s="13" t="s">
        <v>1084</v>
      </c>
      <c r="O32" s="11" t="s">
        <v>1089</v>
      </c>
    </row>
    <row r="33" spans="1:15" ht="48" hidden="1" customHeight="1">
      <c r="A33" s="13" t="s">
        <v>209</v>
      </c>
      <c r="B33" s="11" t="s">
        <v>135</v>
      </c>
      <c r="C33" s="11" t="s">
        <v>197</v>
      </c>
      <c r="D33" s="11" t="s">
        <v>210</v>
      </c>
      <c r="E33" s="14" t="s">
        <v>24</v>
      </c>
      <c r="F33" s="13" t="s">
        <v>92</v>
      </c>
      <c r="G33" s="11" t="s">
        <v>137</v>
      </c>
      <c r="H33" s="11" t="s">
        <v>210</v>
      </c>
      <c r="I33" s="11" t="s">
        <v>211</v>
      </c>
      <c r="J33" s="13" t="s">
        <v>107</v>
      </c>
      <c r="K33" s="11" t="s">
        <v>1109</v>
      </c>
      <c r="L33" s="11"/>
      <c r="M33" s="13" t="s">
        <v>1088</v>
      </c>
      <c r="N33" s="13" t="s">
        <v>1084</v>
      </c>
      <c r="O33" s="11" t="s">
        <v>1089</v>
      </c>
    </row>
    <row r="34" spans="1:15" ht="48" hidden="1" customHeight="1">
      <c r="A34" s="13" t="s">
        <v>212</v>
      </c>
      <c r="B34" s="11" t="s">
        <v>135</v>
      </c>
      <c r="C34" s="11" t="s">
        <v>213</v>
      </c>
      <c r="D34" s="11" t="s">
        <v>214</v>
      </c>
      <c r="E34" s="14" t="s">
        <v>24</v>
      </c>
      <c r="F34" s="13" t="s">
        <v>92</v>
      </c>
      <c r="G34" s="11" t="s">
        <v>137</v>
      </c>
      <c r="H34" s="11" t="s">
        <v>214</v>
      </c>
      <c r="I34" s="11" t="s">
        <v>215</v>
      </c>
      <c r="J34" s="13" t="s">
        <v>107</v>
      </c>
      <c r="K34" s="11" t="s">
        <v>1110</v>
      </c>
      <c r="L34" s="11"/>
      <c r="M34" s="13" t="s">
        <v>1088</v>
      </c>
      <c r="N34" s="13" t="s">
        <v>1084</v>
      </c>
      <c r="O34" s="11" t="s">
        <v>1089</v>
      </c>
    </row>
    <row r="35" spans="1:15" ht="48" hidden="1" customHeight="1">
      <c r="A35" s="13" t="s">
        <v>216</v>
      </c>
      <c r="B35" s="11" t="s">
        <v>135</v>
      </c>
      <c r="C35" s="11" t="s">
        <v>213</v>
      </c>
      <c r="D35" s="11" t="s">
        <v>217</v>
      </c>
      <c r="E35" s="14" t="s">
        <v>24</v>
      </c>
      <c r="F35" s="13" t="s">
        <v>92</v>
      </c>
      <c r="G35" s="11" t="s">
        <v>137</v>
      </c>
      <c r="H35" s="11" t="s">
        <v>217</v>
      </c>
      <c r="I35" s="11" t="s">
        <v>218</v>
      </c>
      <c r="J35" s="13" t="s">
        <v>107</v>
      </c>
      <c r="K35" s="11" t="s">
        <v>1111</v>
      </c>
      <c r="L35" s="11"/>
      <c r="M35" s="13" t="s">
        <v>1088</v>
      </c>
      <c r="N35" s="13" t="s">
        <v>1084</v>
      </c>
      <c r="O35" s="11" t="s">
        <v>1089</v>
      </c>
    </row>
    <row r="36" spans="1:15" ht="48" hidden="1" customHeight="1">
      <c r="A36" s="13" t="s">
        <v>219</v>
      </c>
      <c r="B36" s="11" t="s">
        <v>135</v>
      </c>
      <c r="C36" s="11" t="s">
        <v>213</v>
      </c>
      <c r="D36" s="11" t="s">
        <v>220</v>
      </c>
      <c r="E36" s="14" t="s">
        <v>24</v>
      </c>
      <c r="F36" s="13" t="s">
        <v>92</v>
      </c>
      <c r="G36" s="11" t="s">
        <v>137</v>
      </c>
      <c r="H36" s="11" t="s">
        <v>220</v>
      </c>
      <c r="I36" s="11" t="s">
        <v>221</v>
      </c>
      <c r="J36" s="13" t="s">
        <v>107</v>
      </c>
      <c r="K36" s="11" t="s">
        <v>1112</v>
      </c>
      <c r="L36" s="11"/>
      <c r="M36" s="13" t="s">
        <v>1088</v>
      </c>
      <c r="N36" s="13" t="s">
        <v>1084</v>
      </c>
      <c r="O36" s="11" t="s">
        <v>1089</v>
      </c>
    </row>
    <row r="37" spans="1:15" ht="48" customHeight="1">
      <c r="A37" s="13" t="s">
        <v>222</v>
      </c>
      <c r="B37" s="11" t="s">
        <v>135</v>
      </c>
      <c r="C37" s="11" t="s">
        <v>213</v>
      </c>
      <c r="D37" s="11" t="s">
        <v>223</v>
      </c>
      <c r="E37" s="14" t="s">
        <v>24</v>
      </c>
      <c r="F37" s="13" t="s">
        <v>92</v>
      </c>
      <c r="G37" s="11" t="s">
        <v>137</v>
      </c>
      <c r="H37" s="11" t="s">
        <v>223</v>
      </c>
      <c r="I37" s="11" t="s">
        <v>224</v>
      </c>
      <c r="J37" s="13" t="s">
        <v>180</v>
      </c>
      <c r="K37" s="11"/>
      <c r="L37" s="11"/>
      <c r="M37" s="13"/>
      <c r="N37" s="13"/>
      <c r="O37" s="11" t="s">
        <v>225</v>
      </c>
    </row>
    <row r="38" spans="1:15" ht="48" hidden="1" customHeight="1">
      <c r="A38" s="13" t="s">
        <v>226</v>
      </c>
      <c r="B38" s="11" t="s">
        <v>135</v>
      </c>
      <c r="C38" s="11" t="s">
        <v>213</v>
      </c>
      <c r="D38" s="11" t="s">
        <v>227</v>
      </c>
      <c r="E38" s="14" t="s">
        <v>24</v>
      </c>
      <c r="F38" s="13" t="s">
        <v>92</v>
      </c>
      <c r="G38" s="11" t="s">
        <v>137</v>
      </c>
      <c r="H38" s="11" t="s">
        <v>227</v>
      </c>
      <c r="I38" s="11" t="s">
        <v>228</v>
      </c>
      <c r="J38" s="13" t="s">
        <v>107</v>
      </c>
      <c r="K38" s="11" t="s">
        <v>1113</v>
      </c>
      <c r="L38" s="11"/>
      <c r="M38" s="13" t="s">
        <v>1088</v>
      </c>
      <c r="N38" s="13" t="s">
        <v>1084</v>
      </c>
      <c r="O38" s="11" t="s">
        <v>1089</v>
      </c>
    </row>
    <row r="39" spans="1:15" ht="48" customHeight="1">
      <c r="A39" s="13" t="s">
        <v>229</v>
      </c>
      <c r="B39" s="11" t="s">
        <v>135</v>
      </c>
      <c r="C39" s="11" t="s">
        <v>213</v>
      </c>
      <c r="D39" s="11" t="s">
        <v>230</v>
      </c>
      <c r="E39" s="14" t="s">
        <v>24</v>
      </c>
      <c r="F39" s="13" t="s">
        <v>92</v>
      </c>
      <c r="G39" s="11" t="s">
        <v>137</v>
      </c>
      <c r="H39" s="11" t="s">
        <v>230</v>
      </c>
      <c r="I39" s="11" t="s">
        <v>231</v>
      </c>
      <c r="J39" s="13" t="s">
        <v>180</v>
      </c>
      <c r="K39" s="11"/>
      <c r="L39" s="11"/>
      <c r="M39" s="13"/>
      <c r="N39" s="13"/>
      <c r="O39" s="11" t="s">
        <v>232</v>
      </c>
    </row>
    <row r="40" spans="1:15" ht="48" hidden="1" customHeight="1">
      <c r="A40" s="13" t="s">
        <v>233</v>
      </c>
      <c r="B40" s="11" t="s">
        <v>135</v>
      </c>
      <c r="C40" s="11" t="s">
        <v>213</v>
      </c>
      <c r="D40" s="11" t="s">
        <v>234</v>
      </c>
      <c r="E40" s="14" t="s">
        <v>24</v>
      </c>
      <c r="F40" s="13" t="s">
        <v>92</v>
      </c>
      <c r="G40" s="11" t="s">
        <v>137</v>
      </c>
      <c r="H40" s="11" t="s">
        <v>234</v>
      </c>
      <c r="I40" s="11" t="s">
        <v>235</v>
      </c>
      <c r="J40" s="13" t="s">
        <v>107</v>
      </c>
      <c r="K40" s="11" t="s">
        <v>1114</v>
      </c>
      <c r="L40" s="11"/>
      <c r="M40" s="13" t="s">
        <v>1088</v>
      </c>
      <c r="N40" s="13" t="s">
        <v>1084</v>
      </c>
      <c r="O40" s="11" t="s">
        <v>1089</v>
      </c>
    </row>
    <row r="41" spans="1:15" ht="48" hidden="1" customHeight="1">
      <c r="A41" s="13" t="s">
        <v>236</v>
      </c>
      <c r="B41" s="11" t="s">
        <v>135</v>
      </c>
      <c r="C41" s="11" t="s">
        <v>213</v>
      </c>
      <c r="D41" s="11" t="s">
        <v>237</v>
      </c>
      <c r="E41" s="14" t="s">
        <v>24</v>
      </c>
      <c r="F41" s="13" t="s">
        <v>92</v>
      </c>
      <c r="G41" s="11" t="s">
        <v>137</v>
      </c>
      <c r="H41" s="11" t="s">
        <v>237</v>
      </c>
      <c r="I41" s="11" t="s">
        <v>238</v>
      </c>
      <c r="J41" s="13" t="s">
        <v>107</v>
      </c>
      <c r="K41" s="11" t="s">
        <v>1115</v>
      </c>
      <c r="L41" s="11"/>
      <c r="M41" s="13" t="s">
        <v>1088</v>
      </c>
      <c r="N41" s="13" t="s">
        <v>1084</v>
      </c>
      <c r="O41" s="11" t="s">
        <v>1089</v>
      </c>
    </row>
    <row r="42" spans="1:15" ht="48" hidden="1" customHeight="1">
      <c r="A42" s="13" t="s">
        <v>239</v>
      </c>
      <c r="B42" s="11" t="s">
        <v>135</v>
      </c>
      <c r="C42" s="11" t="s">
        <v>213</v>
      </c>
      <c r="D42" s="11" t="s">
        <v>240</v>
      </c>
      <c r="E42" s="14" t="s">
        <v>24</v>
      </c>
      <c r="F42" s="13" t="s">
        <v>92</v>
      </c>
      <c r="G42" s="11" t="s">
        <v>137</v>
      </c>
      <c r="H42" s="11" t="s">
        <v>240</v>
      </c>
      <c r="I42" s="11" t="s">
        <v>241</v>
      </c>
      <c r="J42" s="13" t="s">
        <v>107</v>
      </c>
      <c r="K42" s="11" t="s">
        <v>1116</v>
      </c>
      <c r="L42" s="11"/>
      <c r="M42" s="13" t="s">
        <v>1088</v>
      </c>
      <c r="N42" s="13" t="s">
        <v>1084</v>
      </c>
      <c r="O42" s="11" t="s">
        <v>1089</v>
      </c>
    </row>
    <row r="43" spans="1:15" ht="48" hidden="1" customHeight="1">
      <c r="A43" s="13" t="s">
        <v>242</v>
      </c>
      <c r="B43" s="11" t="s">
        <v>135</v>
      </c>
      <c r="C43" s="11" t="s">
        <v>213</v>
      </c>
      <c r="D43" s="11" t="s">
        <v>243</v>
      </c>
      <c r="E43" s="14" t="s">
        <v>24</v>
      </c>
      <c r="F43" s="13" t="s">
        <v>92</v>
      </c>
      <c r="G43" s="11" t="s">
        <v>137</v>
      </c>
      <c r="H43" s="11" t="s">
        <v>243</v>
      </c>
      <c r="I43" s="11" t="s">
        <v>244</v>
      </c>
      <c r="J43" s="13" t="s">
        <v>107</v>
      </c>
      <c r="K43" s="11" t="s">
        <v>1117</v>
      </c>
      <c r="L43" s="11"/>
      <c r="M43" s="13" t="s">
        <v>1088</v>
      </c>
      <c r="N43" s="13" t="s">
        <v>1084</v>
      </c>
      <c r="O43" s="11" t="s">
        <v>1089</v>
      </c>
    </row>
    <row r="44" spans="1:15" ht="48" customHeight="1">
      <c r="A44" s="13" t="s">
        <v>245</v>
      </c>
      <c r="B44" s="11" t="s">
        <v>135</v>
      </c>
      <c r="C44" s="11" t="s">
        <v>213</v>
      </c>
      <c r="D44" s="11" t="s">
        <v>246</v>
      </c>
      <c r="E44" s="14" t="s">
        <v>24</v>
      </c>
      <c r="F44" s="13" t="s">
        <v>92</v>
      </c>
      <c r="G44" s="11" t="s">
        <v>137</v>
      </c>
      <c r="H44" s="11" t="s">
        <v>246</v>
      </c>
      <c r="I44" s="11" t="s">
        <v>247</v>
      </c>
      <c r="J44" s="13" t="s">
        <v>180</v>
      </c>
      <c r="K44" s="11"/>
      <c r="L44" s="11"/>
      <c r="M44" s="13"/>
      <c r="N44" s="13"/>
      <c r="O44" s="11"/>
    </row>
    <row r="45" spans="1:15" ht="48" hidden="1" customHeight="1">
      <c r="A45" s="13" t="s">
        <v>248</v>
      </c>
      <c r="B45" s="11" t="s">
        <v>135</v>
      </c>
      <c r="C45" s="11" t="s">
        <v>213</v>
      </c>
      <c r="D45" s="11" t="s">
        <v>249</v>
      </c>
      <c r="E45" s="14" t="s">
        <v>24</v>
      </c>
      <c r="F45" s="13" t="s">
        <v>92</v>
      </c>
      <c r="G45" s="11" t="s">
        <v>137</v>
      </c>
      <c r="H45" s="11" t="s">
        <v>249</v>
      </c>
      <c r="I45" s="11" t="s">
        <v>250</v>
      </c>
      <c r="J45" s="13" t="s">
        <v>107</v>
      </c>
      <c r="K45" s="11" t="s">
        <v>1118</v>
      </c>
      <c r="L45" s="11"/>
      <c r="M45" s="13" t="s">
        <v>1088</v>
      </c>
      <c r="N45" s="13" t="s">
        <v>1084</v>
      </c>
      <c r="O45" s="11" t="s">
        <v>1089</v>
      </c>
    </row>
    <row r="46" spans="1:15" ht="48" customHeight="1">
      <c r="A46" s="13" t="s">
        <v>251</v>
      </c>
      <c r="B46" s="11" t="s">
        <v>135</v>
      </c>
      <c r="C46" s="11" t="s">
        <v>213</v>
      </c>
      <c r="D46" s="11" t="s">
        <v>252</v>
      </c>
      <c r="E46" s="14" t="s">
        <v>24</v>
      </c>
      <c r="F46" s="13" t="s">
        <v>92</v>
      </c>
      <c r="G46" s="11" t="s">
        <v>137</v>
      </c>
      <c r="H46" s="11" t="s">
        <v>252</v>
      </c>
      <c r="I46" s="11" t="s">
        <v>253</v>
      </c>
      <c r="J46" s="13" t="s">
        <v>180</v>
      </c>
      <c r="K46" s="11"/>
      <c r="L46" s="11"/>
      <c r="M46" s="13"/>
      <c r="N46" s="13"/>
      <c r="O46" s="11"/>
    </row>
    <row r="47" spans="1:15" ht="48" customHeight="1">
      <c r="A47" s="13" t="s">
        <v>254</v>
      </c>
      <c r="B47" s="11" t="s">
        <v>135</v>
      </c>
      <c r="C47" s="11" t="s">
        <v>213</v>
      </c>
      <c r="D47" s="11" t="s">
        <v>255</v>
      </c>
      <c r="E47" s="14" t="s">
        <v>24</v>
      </c>
      <c r="F47" s="13" t="s">
        <v>92</v>
      </c>
      <c r="G47" s="11" t="s">
        <v>137</v>
      </c>
      <c r="H47" s="11" t="s">
        <v>255</v>
      </c>
      <c r="I47" s="11" t="s">
        <v>256</v>
      </c>
      <c r="J47" s="13" t="s">
        <v>180</v>
      </c>
      <c r="K47" s="11"/>
      <c r="L47" s="11"/>
      <c r="M47" s="13"/>
      <c r="N47" s="13"/>
      <c r="O47" s="11"/>
    </row>
    <row r="48" spans="1:15" ht="48" hidden="1" customHeight="1">
      <c r="A48" s="13" t="s">
        <v>257</v>
      </c>
      <c r="B48" s="11" t="s">
        <v>135</v>
      </c>
      <c r="C48" s="11" t="s">
        <v>258</v>
      </c>
      <c r="D48" s="11" t="s">
        <v>259</v>
      </c>
      <c r="E48" s="14" t="s">
        <v>24</v>
      </c>
      <c r="F48" s="13" t="s">
        <v>92</v>
      </c>
      <c r="G48" s="11" t="s">
        <v>137</v>
      </c>
      <c r="H48" s="11" t="s">
        <v>259</v>
      </c>
      <c r="I48" s="11" t="s">
        <v>260</v>
      </c>
      <c r="J48" s="13" t="s">
        <v>107</v>
      </c>
      <c r="K48" s="11" t="s">
        <v>1119</v>
      </c>
      <c r="L48" s="11"/>
      <c r="M48" s="13" t="s">
        <v>1088</v>
      </c>
      <c r="N48" s="13" t="s">
        <v>1084</v>
      </c>
      <c r="O48" s="11" t="s">
        <v>1089</v>
      </c>
    </row>
    <row r="49" spans="1:15" ht="48" customHeight="1">
      <c r="A49" s="13" t="s">
        <v>261</v>
      </c>
      <c r="B49" s="11" t="s">
        <v>135</v>
      </c>
      <c r="C49" s="11" t="s">
        <v>258</v>
      </c>
      <c r="D49" s="11" t="s">
        <v>262</v>
      </c>
      <c r="E49" s="14" t="s">
        <v>24</v>
      </c>
      <c r="F49" s="13" t="s">
        <v>92</v>
      </c>
      <c r="G49" s="11" t="s">
        <v>137</v>
      </c>
      <c r="H49" s="11" t="s">
        <v>262</v>
      </c>
      <c r="I49" s="11" t="s">
        <v>263</v>
      </c>
      <c r="J49" s="13" t="s">
        <v>180</v>
      </c>
      <c r="K49" s="11"/>
      <c r="L49" s="11"/>
      <c r="M49" s="13"/>
      <c r="N49" s="13"/>
      <c r="O49" s="11" t="s">
        <v>264</v>
      </c>
    </row>
    <row r="50" spans="1:15" ht="48" customHeight="1">
      <c r="A50" s="13" t="s">
        <v>265</v>
      </c>
      <c r="B50" s="11" t="s">
        <v>135</v>
      </c>
      <c r="C50" s="11" t="s">
        <v>258</v>
      </c>
      <c r="D50" s="11" t="s">
        <v>266</v>
      </c>
      <c r="E50" s="14" t="s">
        <v>24</v>
      </c>
      <c r="F50" s="13" t="s">
        <v>92</v>
      </c>
      <c r="G50" s="11" t="s">
        <v>137</v>
      </c>
      <c r="H50" s="11" t="s">
        <v>266</v>
      </c>
      <c r="I50" s="11" t="s">
        <v>267</v>
      </c>
      <c r="J50" s="13" t="s">
        <v>180</v>
      </c>
      <c r="K50" s="11"/>
      <c r="L50" s="11"/>
      <c r="M50" s="13"/>
      <c r="N50" s="13"/>
      <c r="O50" s="11" t="s">
        <v>268</v>
      </c>
    </row>
    <row r="51" spans="1:15" ht="48" hidden="1" customHeight="1">
      <c r="A51" s="13" t="s">
        <v>269</v>
      </c>
      <c r="B51" s="11" t="s">
        <v>135</v>
      </c>
      <c r="C51" s="11" t="s">
        <v>258</v>
      </c>
      <c r="D51" s="11" t="s">
        <v>270</v>
      </c>
      <c r="E51" s="14" t="s">
        <v>24</v>
      </c>
      <c r="F51" s="13" t="s">
        <v>92</v>
      </c>
      <c r="G51" s="11" t="s">
        <v>137</v>
      </c>
      <c r="H51" s="11" t="s">
        <v>270</v>
      </c>
      <c r="I51" s="11" t="s">
        <v>271</v>
      </c>
      <c r="J51" s="13" t="s">
        <v>107</v>
      </c>
      <c r="K51" s="11" t="s">
        <v>1120</v>
      </c>
      <c r="L51" s="11"/>
      <c r="M51" s="13" t="s">
        <v>1088</v>
      </c>
      <c r="N51" s="13" t="s">
        <v>1084</v>
      </c>
      <c r="O51" s="11" t="s">
        <v>1089</v>
      </c>
    </row>
    <row r="52" spans="1:15" ht="48" customHeight="1">
      <c r="A52" s="13" t="s">
        <v>272</v>
      </c>
      <c r="B52" s="11" t="s">
        <v>135</v>
      </c>
      <c r="C52" s="11" t="s">
        <v>258</v>
      </c>
      <c r="D52" s="11" t="s">
        <v>273</v>
      </c>
      <c r="E52" s="14" t="s">
        <v>24</v>
      </c>
      <c r="F52" s="13" t="s">
        <v>92</v>
      </c>
      <c r="G52" s="11" t="s">
        <v>137</v>
      </c>
      <c r="H52" s="11" t="s">
        <v>273</v>
      </c>
      <c r="I52" s="11" t="s">
        <v>274</v>
      </c>
      <c r="J52" s="13" t="s">
        <v>180</v>
      </c>
      <c r="K52" s="11"/>
      <c r="L52" s="11"/>
      <c r="M52" s="13"/>
      <c r="N52" s="13"/>
      <c r="O52" s="11" t="s">
        <v>275</v>
      </c>
    </row>
    <row r="53" spans="1:15" ht="48" hidden="1" customHeight="1">
      <c r="A53" s="13" t="s">
        <v>276</v>
      </c>
      <c r="B53" s="11" t="s">
        <v>135</v>
      </c>
      <c r="C53" s="11" t="s">
        <v>258</v>
      </c>
      <c r="D53" s="11" t="s">
        <v>277</v>
      </c>
      <c r="E53" s="14" t="s">
        <v>24</v>
      </c>
      <c r="F53" s="13" t="s">
        <v>92</v>
      </c>
      <c r="G53" s="11" t="s">
        <v>137</v>
      </c>
      <c r="H53" s="11" t="s">
        <v>277</v>
      </c>
      <c r="I53" s="11" t="s">
        <v>278</v>
      </c>
      <c r="J53" s="13" t="s">
        <v>107</v>
      </c>
      <c r="K53" s="11" t="s">
        <v>1121</v>
      </c>
      <c r="L53" s="11"/>
      <c r="M53" s="13" t="s">
        <v>1088</v>
      </c>
      <c r="N53" s="13" t="s">
        <v>1084</v>
      </c>
      <c r="O53" s="11" t="s">
        <v>1089</v>
      </c>
    </row>
    <row r="54" spans="1:15" ht="48" hidden="1" customHeight="1">
      <c r="A54" s="13" t="s">
        <v>279</v>
      </c>
      <c r="B54" s="11" t="s">
        <v>280</v>
      </c>
      <c r="C54" s="11" t="s">
        <v>281</v>
      </c>
      <c r="D54" s="11" t="s">
        <v>282</v>
      </c>
      <c r="E54" s="17" t="s">
        <v>22</v>
      </c>
      <c r="F54" s="13" t="s">
        <v>92</v>
      </c>
      <c r="G54" s="11" t="s">
        <v>137</v>
      </c>
      <c r="H54" s="11" t="s">
        <v>282</v>
      </c>
      <c r="I54" s="11" t="s">
        <v>283</v>
      </c>
      <c r="J54" s="15" t="s">
        <v>107</v>
      </c>
      <c r="K54" s="11" t="s">
        <v>1122</v>
      </c>
      <c r="L54" s="11"/>
      <c r="M54" s="13" t="s">
        <v>1088</v>
      </c>
      <c r="N54" s="13" t="s">
        <v>1084</v>
      </c>
      <c r="O54" s="11" t="s">
        <v>1089</v>
      </c>
    </row>
    <row r="55" spans="1:15" ht="48" hidden="1" customHeight="1">
      <c r="A55" s="13" t="s">
        <v>284</v>
      </c>
      <c r="B55" s="11" t="s">
        <v>280</v>
      </c>
      <c r="C55" s="11" t="s">
        <v>281</v>
      </c>
      <c r="D55" s="11" t="s">
        <v>285</v>
      </c>
      <c r="E55" s="17" t="s">
        <v>22</v>
      </c>
      <c r="F55" s="13" t="s">
        <v>92</v>
      </c>
      <c r="G55" s="11" t="s">
        <v>137</v>
      </c>
      <c r="H55" s="11" t="s">
        <v>285</v>
      </c>
      <c r="I55" s="11" t="s">
        <v>286</v>
      </c>
      <c r="J55" s="15" t="s">
        <v>107</v>
      </c>
      <c r="K55" s="11" t="s">
        <v>287</v>
      </c>
      <c r="L55" s="11"/>
      <c r="M55" s="13" t="s">
        <v>109</v>
      </c>
      <c r="N55" s="13" t="s">
        <v>110</v>
      </c>
      <c r="O55" s="11"/>
    </row>
    <row r="56" spans="1:15" ht="48" customHeight="1">
      <c r="A56" s="13" t="s">
        <v>288</v>
      </c>
      <c r="B56" s="11" t="s">
        <v>280</v>
      </c>
      <c r="C56" s="11" t="s">
        <v>281</v>
      </c>
      <c r="D56" s="11" t="s">
        <v>289</v>
      </c>
      <c r="E56" s="17" t="s">
        <v>22</v>
      </c>
      <c r="F56" s="13" t="s">
        <v>92</v>
      </c>
      <c r="G56" s="11" t="s">
        <v>137</v>
      </c>
      <c r="H56" s="11" t="s">
        <v>289</v>
      </c>
      <c r="I56" s="11" t="s">
        <v>290</v>
      </c>
      <c r="J56" s="16" t="s">
        <v>117</v>
      </c>
      <c r="K56" s="11" t="s">
        <v>291</v>
      </c>
      <c r="L56" s="11"/>
      <c r="M56" s="13" t="s">
        <v>109</v>
      </c>
      <c r="N56" s="13" t="s">
        <v>110</v>
      </c>
      <c r="O56" s="11"/>
    </row>
    <row r="57" spans="1:15" ht="48" hidden="1" customHeight="1">
      <c r="A57" s="13" t="s">
        <v>292</v>
      </c>
      <c r="B57" s="11" t="s">
        <v>280</v>
      </c>
      <c r="C57" s="11" t="s">
        <v>281</v>
      </c>
      <c r="D57" s="11" t="s">
        <v>293</v>
      </c>
      <c r="E57" s="17" t="s">
        <v>22</v>
      </c>
      <c r="F57" s="13" t="s">
        <v>92</v>
      </c>
      <c r="G57" s="11" t="s">
        <v>137</v>
      </c>
      <c r="H57" s="11" t="s">
        <v>293</v>
      </c>
      <c r="I57" s="11" t="s">
        <v>294</v>
      </c>
      <c r="J57" s="15" t="s">
        <v>107</v>
      </c>
      <c r="K57" s="11" t="s">
        <v>1123</v>
      </c>
      <c r="L57" s="11"/>
      <c r="M57" s="13" t="s">
        <v>1088</v>
      </c>
      <c r="N57" s="13" t="s">
        <v>1084</v>
      </c>
      <c r="O57" s="11" t="s">
        <v>1089</v>
      </c>
    </row>
    <row r="58" spans="1:15" ht="48" hidden="1" customHeight="1">
      <c r="A58" s="13" t="s">
        <v>295</v>
      </c>
      <c r="B58" s="11" t="s">
        <v>280</v>
      </c>
      <c r="C58" s="11" t="s">
        <v>281</v>
      </c>
      <c r="D58" s="11" t="s">
        <v>296</v>
      </c>
      <c r="E58" s="17" t="s">
        <v>22</v>
      </c>
      <c r="F58" s="13" t="s">
        <v>92</v>
      </c>
      <c r="G58" s="11" t="s">
        <v>137</v>
      </c>
      <c r="H58" s="11" t="s">
        <v>296</v>
      </c>
      <c r="I58" s="11" t="s">
        <v>297</v>
      </c>
      <c r="J58" s="15" t="s">
        <v>107</v>
      </c>
      <c r="K58" s="11" t="s">
        <v>1124</v>
      </c>
      <c r="L58" s="11"/>
      <c r="M58" s="13" t="s">
        <v>1088</v>
      </c>
      <c r="N58" s="13" t="s">
        <v>1084</v>
      </c>
      <c r="O58" s="11" t="s">
        <v>1089</v>
      </c>
    </row>
    <row r="59" spans="1:15" ht="48" hidden="1" customHeight="1">
      <c r="A59" s="13" t="s">
        <v>298</v>
      </c>
      <c r="B59" s="11" t="s">
        <v>280</v>
      </c>
      <c r="C59" s="11" t="s">
        <v>281</v>
      </c>
      <c r="D59" s="11" t="s">
        <v>299</v>
      </c>
      <c r="E59" s="17" t="s">
        <v>22</v>
      </c>
      <c r="F59" s="13" t="s">
        <v>92</v>
      </c>
      <c r="G59" s="11" t="s">
        <v>137</v>
      </c>
      <c r="H59" s="11" t="s">
        <v>299</v>
      </c>
      <c r="I59" s="11" t="s">
        <v>300</v>
      </c>
      <c r="J59" s="15" t="s">
        <v>107</v>
      </c>
      <c r="K59" s="11" t="s">
        <v>1125</v>
      </c>
      <c r="L59" s="11"/>
      <c r="M59" s="13" t="s">
        <v>1088</v>
      </c>
      <c r="N59" s="13" t="s">
        <v>1084</v>
      </c>
      <c r="O59" s="11" t="s">
        <v>1089</v>
      </c>
    </row>
    <row r="60" spans="1:15" ht="48" hidden="1" customHeight="1">
      <c r="A60" s="13" t="s">
        <v>301</v>
      </c>
      <c r="B60" s="11" t="s">
        <v>280</v>
      </c>
      <c r="C60" s="11" t="s">
        <v>281</v>
      </c>
      <c r="D60" s="11" t="s">
        <v>302</v>
      </c>
      <c r="E60" s="17" t="s">
        <v>22</v>
      </c>
      <c r="F60" s="13" t="s">
        <v>92</v>
      </c>
      <c r="G60" s="11" t="s">
        <v>137</v>
      </c>
      <c r="H60" s="11" t="s">
        <v>302</v>
      </c>
      <c r="I60" s="11" t="s">
        <v>303</v>
      </c>
      <c r="J60" s="15" t="s">
        <v>107</v>
      </c>
      <c r="K60" s="11" t="s">
        <v>1126</v>
      </c>
      <c r="L60" s="11"/>
      <c r="M60" s="13" t="s">
        <v>1088</v>
      </c>
      <c r="N60" s="13" t="s">
        <v>1084</v>
      </c>
      <c r="O60" s="11" t="s">
        <v>1089</v>
      </c>
    </row>
    <row r="61" spans="1:15" ht="48" hidden="1" customHeight="1">
      <c r="A61" s="13" t="s">
        <v>304</v>
      </c>
      <c r="B61" s="11" t="s">
        <v>280</v>
      </c>
      <c r="C61" s="11" t="s">
        <v>281</v>
      </c>
      <c r="D61" s="11" t="s">
        <v>305</v>
      </c>
      <c r="E61" s="17" t="s">
        <v>22</v>
      </c>
      <c r="F61" s="13" t="s">
        <v>92</v>
      </c>
      <c r="G61" s="11" t="s">
        <v>137</v>
      </c>
      <c r="H61" s="11" t="s">
        <v>305</v>
      </c>
      <c r="I61" s="11" t="s">
        <v>306</v>
      </c>
      <c r="J61" s="15" t="s">
        <v>107</v>
      </c>
      <c r="K61" s="11" t="s">
        <v>1127</v>
      </c>
      <c r="L61" s="11"/>
      <c r="M61" s="13" t="s">
        <v>1088</v>
      </c>
      <c r="N61" s="13" t="s">
        <v>1084</v>
      </c>
      <c r="O61" s="11" t="s">
        <v>1089</v>
      </c>
    </row>
    <row r="62" spans="1:15" ht="48" hidden="1" customHeight="1">
      <c r="A62" s="13" t="s">
        <v>307</v>
      </c>
      <c r="B62" s="11" t="s">
        <v>280</v>
      </c>
      <c r="C62" s="11" t="s">
        <v>308</v>
      </c>
      <c r="D62" s="11" t="s">
        <v>309</v>
      </c>
      <c r="E62" s="17" t="s">
        <v>22</v>
      </c>
      <c r="F62" s="13" t="s">
        <v>92</v>
      </c>
      <c r="G62" s="11" t="s">
        <v>137</v>
      </c>
      <c r="H62" s="11" t="s">
        <v>309</v>
      </c>
      <c r="I62" s="11" t="s">
        <v>310</v>
      </c>
      <c r="J62" s="15" t="s">
        <v>107</v>
      </c>
      <c r="K62" s="11" t="s">
        <v>1128</v>
      </c>
      <c r="L62" s="11"/>
      <c r="M62" s="13" t="s">
        <v>1088</v>
      </c>
      <c r="N62" s="13" t="s">
        <v>1084</v>
      </c>
      <c r="O62" s="11" t="s">
        <v>1089</v>
      </c>
    </row>
    <row r="63" spans="1:15" ht="48" customHeight="1">
      <c r="A63" s="13" t="s">
        <v>311</v>
      </c>
      <c r="B63" s="11" t="s">
        <v>280</v>
      </c>
      <c r="C63" s="11" t="s">
        <v>308</v>
      </c>
      <c r="D63" s="11" t="s">
        <v>312</v>
      </c>
      <c r="E63" s="17" t="s">
        <v>22</v>
      </c>
      <c r="F63" s="13" t="s">
        <v>92</v>
      </c>
      <c r="G63" s="11" t="s">
        <v>137</v>
      </c>
      <c r="H63" s="11" t="s">
        <v>312</v>
      </c>
      <c r="I63" s="11" t="s">
        <v>313</v>
      </c>
      <c r="J63" s="16" t="s">
        <v>117</v>
      </c>
      <c r="K63" s="11" t="s">
        <v>314</v>
      </c>
      <c r="L63" s="11"/>
      <c r="M63" s="13" t="s">
        <v>109</v>
      </c>
      <c r="N63" s="13" t="s">
        <v>110</v>
      </c>
      <c r="O63" s="11" t="s">
        <v>315</v>
      </c>
    </row>
    <row r="64" spans="1:15" ht="48" customHeight="1">
      <c r="A64" s="13" t="s">
        <v>316</v>
      </c>
      <c r="B64" s="11" t="s">
        <v>280</v>
      </c>
      <c r="C64" s="11" t="s">
        <v>308</v>
      </c>
      <c r="D64" s="11" t="s">
        <v>317</v>
      </c>
      <c r="E64" s="17" t="s">
        <v>22</v>
      </c>
      <c r="F64" s="13" t="s">
        <v>92</v>
      </c>
      <c r="G64" s="11" t="s">
        <v>137</v>
      </c>
      <c r="H64" s="11" t="s">
        <v>317</v>
      </c>
      <c r="I64" s="11" t="s">
        <v>318</v>
      </c>
      <c r="J64" s="16" t="s">
        <v>117</v>
      </c>
      <c r="K64" s="11" t="s">
        <v>319</v>
      </c>
      <c r="L64" s="11"/>
      <c r="M64" s="13" t="s">
        <v>109</v>
      </c>
      <c r="N64" s="13" t="s">
        <v>110</v>
      </c>
      <c r="O64" s="11"/>
    </row>
    <row r="65" spans="1:15" ht="48" customHeight="1">
      <c r="A65" s="13" t="s">
        <v>320</v>
      </c>
      <c r="B65" s="11" t="s">
        <v>280</v>
      </c>
      <c r="C65" s="11" t="s">
        <v>308</v>
      </c>
      <c r="D65" s="11" t="s">
        <v>321</v>
      </c>
      <c r="E65" s="17" t="s">
        <v>22</v>
      </c>
      <c r="F65" s="13" t="s">
        <v>92</v>
      </c>
      <c r="G65" s="11" t="s">
        <v>137</v>
      </c>
      <c r="H65" s="11" t="s">
        <v>321</v>
      </c>
      <c r="I65" s="11" t="s">
        <v>322</v>
      </c>
      <c r="J65" s="16" t="s">
        <v>117</v>
      </c>
      <c r="K65" s="11" t="s">
        <v>323</v>
      </c>
      <c r="L65" s="11"/>
      <c r="M65" s="13" t="s">
        <v>109</v>
      </c>
      <c r="N65" s="13" t="s">
        <v>110</v>
      </c>
      <c r="O65" s="11"/>
    </row>
    <row r="66" spans="1:15" ht="48" customHeight="1">
      <c r="A66" s="13" t="s">
        <v>324</v>
      </c>
      <c r="B66" s="11" t="s">
        <v>280</v>
      </c>
      <c r="C66" s="11" t="s">
        <v>308</v>
      </c>
      <c r="D66" s="11" t="s">
        <v>325</v>
      </c>
      <c r="E66" s="17" t="s">
        <v>22</v>
      </c>
      <c r="F66" s="13" t="s">
        <v>92</v>
      </c>
      <c r="G66" s="11" t="s">
        <v>137</v>
      </c>
      <c r="H66" s="11" t="s">
        <v>325</v>
      </c>
      <c r="I66" s="11" t="s">
        <v>326</v>
      </c>
      <c r="J66" s="16" t="s">
        <v>117</v>
      </c>
      <c r="K66" s="11" t="s">
        <v>327</v>
      </c>
      <c r="L66" s="11"/>
      <c r="M66" s="13" t="s">
        <v>109</v>
      </c>
      <c r="N66" s="13" t="s">
        <v>110</v>
      </c>
      <c r="O66" s="11"/>
    </row>
    <row r="67" spans="1:15" ht="48" customHeight="1">
      <c r="A67" s="13" t="s">
        <v>328</v>
      </c>
      <c r="B67" s="11" t="s">
        <v>280</v>
      </c>
      <c r="C67" s="11" t="s">
        <v>308</v>
      </c>
      <c r="D67" s="11" t="s">
        <v>329</v>
      </c>
      <c r="E67" s="17" t="s">
        <v>22</v>
      </c>
      <c r="F67" s="13" t="s">
        <v>92</v>
      </c>
      <c r="G67" s="11" t="s">
        <v>137</v>
      </c>
      <c r="H67" s="11" t="s">
        <v>329</v>
      </c>
      <c r="I67" s="11" t="s">
        <v>330</v>
      </c>
      <c r="J67" s="16" t="s">
        <v>117</v>
      </c>
      <c r="K67" s="11" t="s">
        <v>327</v>
      </c>
      <c r="L67" s="11"/>
      <c r="M67" s="13" t="s">
        <v>109</v>
      </c>
      <c r="N67" s="13" t="s">
        <v>110</v>
      </c>
      <c r="O67" s="11"/>
    </row>
    <row r="68" spans="1:15" ht="48" customHeight="1">
      <c r="A68" s="13" t="s">
        <v>331</v>
      </c>
      <c r="B68" s="11" t="s">
        <v>280</v>
      </c>
      <c r="C68" s="11" t="s">
        <v>308</v>
      </c>
      <c r="D68" s="11" t="s">
        <v>332</v>
      </c>
      <c r="E68" s="17" t="s">
        <v>22</v>
      </c>
      <c r="F68" s="13" t="s">
        <v>92</v>
      </c>
      <c r="G68" s="11" t="s">
        <v>137</v>
      </c>
      <c r="H68" s="11" t="s">
        <v>332</v>
      </c>
      <c r="I68" s="11" t="s">
        <v>333</v>
      </c>
      <c r="J68" s="16" t="s">
        <v>117</v>
      </c>
      <c r="K68" s="11" t="s">
        <v>327</v>
      </c>
      <c r="L68" s="11"/>
      <c r="M68" s="13" t="s">
        <v>109</v>
      </c>
      <c r="N68" s="13" t="s">
        <v>110</v>
      </c>
      <c r="O68" s="11"/>
    </row>
    <row r="69" spans="1:15" ht="48" hidden="1" customHeight="1">
      <c r="A69" s="13" t="s">
        <v>334</v>
      </c>
      <c r="B69" s="11" t="s">
        <v>280</v>
      </c>
      <c r="C69" s="11" t="s">
        <v>308</v>
      </c>
      <c r="D69" s="11" t="s">
        <v>335</v>
      </c>
      <c r="E69" s="17" t="s">
        <v>22</v>
      </c>
      <c r="F69" s="13" t="s">
        <v>92</v>
      </c>
      <c r="G69" s="11" t="s">
        <v>137</v>
      </c>
      <c r="H69" s="11" t="s">
        <v>335</v>
      </c>
      <c r="I69" s="11" t="s">
        <v>336</v>
      </c>
      <c r="J69" s="15" t="s">
        <v>107</v>
      </c>
      <c r="K69" s="11" t="s">
        <v>1129</v>
      </c>
      <c r="L69" s="11"/>
      <c r="M69" s="13" t="s">
        <v>1088</v>
      </c>
      <c r="N69" s="13" t="s">
        <v>1084</v>
      </c>
      <c r="O69" s="11" t="s">
        <v>1089</v>
      </c>
    </row>
    <row r="70" spans="1:15" ht="48" hidden="1" customHeight="1">
      <c r="A70" s="13" t="s">
        <v>337</v>
      </c>
      <c r="B70" s="11" t="s">
        <v>280</v>
      </c>
      <c r="C70" s="11" t="s">
        <v>308</v>
      </c>
      <c r="D70" s="11" t="s">
        <v>338</v>
      </c>
      <c r="E70" s="17" t="s">
        <v>22</v>
      </c>
      <c r="F70" s="13" t="s">
        <v>92</v>
      </c>
      <c r="G70" s="11" t="s">
        <v>137</v>
      </c>
      <c r="H70" s="11" t="s">
        <v>338</v>
      </c>
      <c r="I70" s="11" t="s">
        <v>339</v>
      </c>
      <c r="J70" s="15" t="s">
        <v>107</v>
      </c>
      <c r="K70" s="11" t="s">
        <v>1130</v>
      </c>
      <c r="L70" s="11"/>
      <c r="M70" s="13" t="s">
        <v>1088</v>
      </c>
      <c r="N70" s="13" t="s">
        <v>1084</v>
      </c>
      <c r="O70" s="11" t="s">
        <v>1089</v>
      </c>
    </row>
    <row r="71" spans="1:15" ht="48" customHeight="1">
      <c r="A71" s="13" t="s">
        <v>340</v>
      </c>
      <c r="B71" s="11" t="s">
        <v>280</v>
      </c>
      <c r="C71" s="11" t="s">
        <v>308</v>
      </c>
      <c r="D71" s="11" t="s">
        <v>341</v>
      </c>
      <c r="E71" s="17" t="s">
        <v>22</v>
      </c>
      <c r="F71" s="13" t="s">
        <v>92</v>
      </c>
      <c r="G71" s="11" t="s">
        <v>137</v>
      </c>
      <c r="H71" s="11" t="s">
        <v>341</v>
      </c>
      <c r="I71" s="11" t="s">
        <v>342</v>
      </c>
      <c r="J71" s="16" t="s">
        <v>117</v>
      </c>
      <c r="K71" s="11" t="s">
        <v>343</v>
      </c>
      <c r="L71" s="11"/>
      <c r="M71" s="13" t="s">
        <v>109</v>
      </c>
      <c r="N71" s="13" t="s">
        <v>110</v>
      </c>
      <c r="O71" s="11"/>
    </row>
    <row r="72" spans="1:15" ht="48" hidden="1" customHeight="1">
      <c r="A72" s="13" t="s">
        <v>344</v>
      </c>
      <c r="B72" s="11" t="s">
        <v>280</v>
      </c>
      <c r="C72" s="11" t="s">
        <v>308</v>
      </c>
      <c r="D72" s="11" t="s">
        <v>345</v>
      </c>
      <c r="E72" s="17" t="s">
        <v>22</v>
      </c>
      <c r="F72" s="13" t="s">
        <v>92</v>
      </c>
      <c r="G72" s="11" t="s">
        <v>137</v>
      </c>
      <c r="H72" s="11" t="s">
        <v>345</v>
      </c>
      <c r="I72" s="11" t="s">
        <v>346</v>
      </c>
      <c r="J72" s="15" t="s">
        <v>107</v>
      </c>
      <c r="K72" s="11" t="s">
        <v>347</v>
      </c>
      <c r="L72" s="11"/>
      <c r="M72" s="13" t="s">
        <v>109</v>
      </c>
      <c r="N72" s="13" t="s">
        <v>110</v>
      </c>
      <c r="O72" s="11" t="s">
        <v>348</v>
      </c>
    </row>
    <row r="73" spans="1:15" ht="48" hidden="1" customHeight="1">
      <c r="A73" s="13" t="s">
        <v>349</v>
      </c>
      <c r="B73" s="11" t="s">
        <v>280</v>
      </c>
      <c r="C73" s="11" t="s">
        <v>308</v>
      </c>
      <c r="D73" s="11" t="s">
        <v>350</v>
      </c>
      <c r="E73" s="17" t="s">
        <v>22</v>
      </c>
      <c r="F73" s="13" t="s">
        <v>92</v>
      </c>
      <c r="G73" s="11" t="s">
        <v>137</v>
      </c>
      <c r="H73" s="11" t="s">
        <v>350</v>
      </c>
      <c r="I73" s="11" t="s">
        <v>351</v>
      </c>
      <c r="J73" s="15" t="s">
        <v>107</v>
      </c>
      <c r="K73" s="11" t="s">
        <v>1131</v>
      </c>
      <c r="L73" s="11"/>
      <c r="M73" s="13" t="s">
        <v>1088</v>
      </c>
      <c r="N73" s="13" t="s">
        <v>1084</v>
      </c>
      <c r="O73" s="11" t="s">
        <v>1089</v>
      </c>
    </row>
    <row r="74" spans="1:15" ht="48" hidden="1" customHeight="1">
      <c r="A74" s="13" t="s">
        <v>352</v>
      </c>
      <c r="B74" s="11" t="s">
        <v>280</v>
      </c>
      <c r="C74" s="11" t="s">
        <v>353</v>
      </c>
      <c r="D74" s="11" t="s">
        <v>354</v>
      </c>
      <c r="E74" s="17" t="s">
        <v>22</v>
      </c>
      <c r="F74" s="13" t="s">
        <v>92</v>
      </c>
      <c r="G74" s="11" t="s">
        <v>137</v>
      </c>
      <c r="H74" s="11" t="s">
        <v>355</v>
      </c>
      <c r="I74" s="11" t="s">
        <v>356</v>
      </c>
      <c r="J74" s="15" t="s">
        <v>107</v>
      </c>
      <c r="K74" s="11" t="s">
        <v>1132</v>
      </c>
      <c r="L74" s="11"/>
      <c r="M74" s="13" t="s">
        <v>1088</v>
      </c>
      <c r="N74" s="13" t="s">
        <v>1084</v>
      </c>
      <c r="O74" s="11" t="s">
        <v>1089</v>
      </c>
    </row>
    <row r="75" spans="1:15" ht="48" hidden="1" customHeight="1">
      <c r="A75" s="13" t="s">
        <v>357</v>
      </c>
      <c r="B75" s="11" t="s">
        <v>280</v>
      </c>
      <c r="C75" s="11" t="s">
        <v>353</v>
      </c>
      <c r="D75" s="11" t="s">
        <v>358</v>
      </c>
      <c r="E75" s="17" t="s">
        <v>22</v>
      </c>
      <c r="F75" s="13" t="s">
        <v>92</v>
      </c>
      <c r="G75" s="11" t="s">
        <v>137</v>
      </c>
      <c r="H75" s="11" t="s">
        <v>359</v>
      </c>
      <c r="I75" s="11" t="s">
        <v>360</v>
      </c>
      <c r="J75" s="15" t="s">
        <v>107</v>
      </c>
      <c r="K75" s="11" t="s">
        <v>1133</v>
      </c>
      <c r="L75" s="11"/>
      <c r="M75" s="13" t="s">
        <v>1088</v>
      </c>
      <c r="N75" s="13" t="s">
        <v>1084</v>
      </c>
      <c r="O75" s="11" t="s">
        <v>1089</v>
      </c>
    </row>
    <row r="76" spans="1:15" ht="48" customHeight="1">
      <c r="A76" s="13" t="s">
        <v>361</v>
      </c>
      <c r="B76" s="11" t="s">
        <v>280</v>
      </c>
      <c r="C76" s="11" t="s">
        <v>353</v>
      </c>
      <c r="D76" s="11" t="s">
        <v>362</v>
      </c>
      <c r="E76" s="17" t="s">
        <v>22</v>
      </c>
      <c r="F76" s="13" t="s">
        <v>92</v>
      </c>
      <c r="G76" s="11" t="s">
        <v>137</v>
      </c>
      <c r="H76" s="11" t="s">
        <v>363</v>
      </c>
      <c r="I76" s="11" t="s">
        <v>364</v>
      </c>
      <c r="J76" s="16" t="s">
        <v>117</v>
      </c>
      <c r="K76" s="11" t="s">
        <v>365</v>
      </c>
      <c r="L76" s="11"/>
      <c r="M76" s="13" t="s">
        <v>109</v>
      </c>
      <c r="N76" s="13" t="s">
        <v>110</v>
      </c>
      <c r="O76" s="11" t="s">
        <v>366</v>
      </c>
    </row>
    <row r="77" spans="1:15" ht="48" hidden="1" customHeight="1">
      <c r="A77" s="13" t="s">
        <v>367</v>
      </c>
      <c r="B77" s="11" t="s">
        <v>280</v>
      </c>
      <c r="C77" s="11" t="s">
        <v>368</v>
      </c>
      <c r="D77" s="11" t="s">
        <v>369</v>
      </c>
      <c r="E77" s="17" t="s">
        <v>22</v>
      </c>
      <c r="F77" s="13" t="s">
        <v>92</v>
      </c>
      <c r="G77" s="11" t="s">
        <v>137</v>
      </c>
      <c r="H77" s="11" t="s">
        <v>369</v>
      </c>
      <c r="I77" s="11" t="s">
        <v>370</v>
      </c>
      <c r="J77" s="15" t="s">
        <v>107</v>
      </c>
      <c r="K77" s="11" t="s">
        <v>1134</v>
      </c>
      <c r="L77" s="11"/>
      <c r="M77" s="13" t="s">
        <v>1088</v>
      </c>
      <c r="N77" s="13" t="s">
        <v>1084</v>
      </c>
      <c r="O77" s="11" t="s">
        <v>1089</v>
      </c>
    </row>
    <row r="78" spans="1:15" ht="48" hidden="1" customHeight="1">
      <c r="A78" s="13" t="s">
        <v>371</v>
      </c>
      <c r="B78" s="11" t="s">
        <v>280</v>
      </c>
      <c r="C78" s="11" t="s">
        <v>368</v>
      </c>
      <c r="D78" s="11" t="s">
        <v>372</v>
      </c>
      <c r="E78" s="17" t="s">
        <v>22</v>
      </c>
      <c r="F78" s="13" t="s">
        <v>92</v>
      </c>
      <c r="G78" s="11" t="s">
        <v>137</v>
      </c>
      <c r="H78" s="11" t="s">
        <v>372</v>
      </c>
      <c r="I78" s="11" t="s">
        <v>373</v>
      </c>
      <c r="J78" s="15" t="s">
        <v>107</v>
      </c>
      <c r="K78" s="11" t="s">
        <v>1135</v>
      </c>
      <c r="L78" s="11"/>
      <c r="M78" s="13" t="s">
        <v>1088</v>
      </c>
      <c r="N78" s="13" t="s">
        <v>1084</v>
      </c>
      <c r="O78" s="11" t="s">
        <v>1089</v>
      </c>
    </row>
    <row r="79" spans="1:15" ht="48" customHeight="1">
      <c r="A79" s="13" t="s">
        <v>374</v>
      </c>
      <c r="B79" s="11" t="s">
        <v>280</v>
      </c>
      <c r="C79" s="11" t="s">
        <v>368</v>
      </c>
      <c r="D79" s="11" t="s">
        <v>375</v>
      </c>
      <c r="E79" s="17" t="s">
        <v>22</v>
      </c>
      <c r="F79" s="13" t="s">
        <v>92</v>
      </c>
      <c r="G79" s="11" t="s">
        <v>137</v>
      </c>
      <c r="H79" s="11" t="s">
        <v>375</v>
      </c>
      <c r="I79" s="11" t="s">
        <v>376</v>
      </c>
      <c r="J79" s="15" t="s">
        <v>1136</v>
      </c>
      <c r="K79" s="11" t="s">
        <v>1137</v>
      </c>
      <c r="L79" s="11"/>
      <c r="M79" s="13" t="s">
        <v>1088</v>
      </c>
      <c r="N79" s="13" t="s">
        <v>1084</v>
      </c>
      <c r="O79" s="11" t="s">
        <v>1089</v>
      </c>
    </row>
    <row r="80" spans="1:15" ht="48" hidden="1" customHeight="1">
      <c r="A80" s="13" t="s">
        <v>377</v>
      </c>
      <c r="B80" s="11" t="s">
        <v>280</v>
      </c>
      <c r="C80" s="11" t="s">
        <v>368</v>
      </c>
      <c r="D80" s="11" t="s">
        <v>378</v>
      </c>
      <c r="E80" s="17" t="s">
        <v>22</v>
      </c>
      <c r="F80" s="13" t="s">
        <v>92</v>
      </c>
      <c r="G80" s="11" t="s">
        <v>137</v>
      </c>
      <c r="H80" s="11" t="s">
        <v>378</v>
      </c>
      <c r="I80" s="11" t="s">
        <v>379</v>
      </c>
      <c r="J80" s="15" t="s">
        <v>107</v>
      </c>
      <c r="K80" s="11" t="s">
        <v>380</v>
      </c>
      <c r="L80" s="11"/>
      <c r="M80" s="13" t="s">
        <v>109</v>
      </c>
      <c r="N80" s="13" t="s">
        <v>110</v>
      </c>
      <c r="O80" s="11"/>
    </row>
    <row r="81" spans="1:15" ht="48" hidden="1" customHeight="1">
      <c r="A81" s="13" t="s">
        <v>381</v>
      </c>
      <c r="B81" s="11" t="s">
        <v>280</v>
      </c>
      <c r="C81" s="11" t="s">
        <v>368</v>
      </c>
      <c r="D81" s="11" t="s">
        <v>382</v>
      </c>
      <c r="E81" s="17" t="s">
        <v>22</v>
      </c>
      <c r="F81" s="13" t="s">
        <v>92</v>
      </c>
      <c r="G81" s="11" t="s">
        <v>137</v>
      </c>
      <c r="H81" s="11" t="s">
        <v>382</v>
      </c>
      <c r="I81" s="11" t="s">
        <v>383</v>
      </c>
      <c r="J81" s="15" t="s">
        <v>107</v>
      </c>
      <c r="K81" s="11" t="s">
        <v>1138</v>
      </c>
      <c r="L81" s="11"/>
      <c r="M81" s="13" t="s">
        <v>1088</v>
      </c>
      <c r="N81" s="13" t="s">
        <v>1084</v>
      </c>
      <c r="O81" s="11" t="s">
        <v>1089</v>
      </c>
    </row>
    <row r="82" spans="1:15" ht="48" hidden="1" customHeight="1">
      <c r="A82" s="13" t="s">
        <v>384</v>
      </c>
      <c r="B82" s="11" t="s">
        <v>280</v>
      </c>
      <c r="C82" s="11" t="s">
        <v>385</v>
      </c>
      <c r="D82" s="11" t="s">
        <v>386</v>
      </c>
      <c r="E82" s="17" t="s">
        <v>22</v>
      </c>
      <c r="F82" s="13" t="s">
        <v>92</v>
      </c>
      <c r="G82" s="11" t="s">
        <v>137</v>
      </c>
      <c r="H82" s="11" t="s">
        <v>386</v>
      </c>
      <c r="I82" s="11" t="s">
        <v>387</v>
      </c>
      <c r="J82" s="15" t="s">
        <v>107</v>
      </c>
      <c r="K82" s="11" t="s">
        <v>1139</v>
      </c>
      <c r="L82" s="11"/>
      <c r="M82" s="13" t="s">
        <v>1088</v>
      </c>
      <c r="N82" s="13" t="s">
        <v>1084</v>
      </c>
      <c r="O82" s="11" t="s">
        <v>1089</v>
      </c>
    </row>
    <row r="83" spans="1:15" ht="48" hidden="1" customHeight="1">
      <c r="A83" s="13" t="s">
        <v>388</v>
      </c>
      <c r="B83" s="11" t="s">
        <v>280</v>
      </c>
      <c r="C83" s="11" t="s">
        <v>385</v>
      </c>
      <c r="D83" s="11" t="s">
        <v>389</v>
      </c>
      <c r="E83" s="17" t="s">
        <v>22</v>
      </c>
      <c r="F83" s="13" t="s">
        <v>92</v>
      </c>
      <c r="G83" s="11" t="s">
        <v>137</v>
      </c>
      <c r="H83" s="11" t="s">
        <v>389</v>
      </c>
      <c r="I83" s="11" t="s">
        <v>390</v>
      </c>
      <c r="J83" s="15" t="s">
        <v>107</v>
      </c>
      <c r="K83" s="11" t="s">
        <v>1140</v>
      </c>
      <c r="L83" s="11"/>
      <c r="M83" s="13" t="s">
        <v>1088</v>
      </c>
      <c r="N83" s="13" t="s">
        <v>1084</v>
      </c>
      <c r="O83" s="11" t="s">
        <v>1089</v>
      </c>
    </row>
    <row r="84" spans="1:15" ht="48" hidden="1" customHeight="1">
      <c r="A84" s="13" t="s">
        <v>391</v>
      </c>
      <c r="B84" s="11" t="s">
        <v>280</v>
      </c>
      <c r="C84" s="11" t="s">
        <v>385</v>
      </c>
      <c r="D84" s="11" t="s">
        <v>392</v>
      </c>
      <c r="E84" s="17" t="s">
        <v>22</v>
      </c>
      <c r="F84" s="13" t="s">
        <v>92</v>
      </c>
      <c r="G84" s="11" t="s">
        <v>137</v>
      </c>
      <c r="H84" s="11" t="s">
        <v>392</v>
      </c>
      <c r="I84" s="11" t="s">
        <v>393</v>
      </c>
      <c r="J84" s="15" t="s">
        <v>107</v>
      </c>
      <c r="K84" s="11" t="s">
        <v>1141</v>
      </c>
      <c r="L84" s="11"/>
      <c r="M84" s="13" t="s">
        <v>1088</v>
      </c>
      <c r="N84" s="13" t="s">
        <v>1084</v>
      </c>
      <c r="O84" s="11" t="s">
        <v>1089</v>
      </c>
    </row>
    <row r="85" spans="1:15" ht="48" hidden="1" customHeight="1">
      <c r="A85" s="13" t="s">
        <v>394</v>
      </c>
      <c r="B85" s="11" t="s">
        <v>280</v>
      </c>
      <c r="C85" s="11" t="s">
        <v>385</v>
      </c>
      <c r="D85" s="11" t="s">
        <v>395</v>
      </c>
      <c r="E85" s="17" t="s">
        <v>22</v>
      </c>
      <c r="F85" s="13" t="s">
        <v>92</v>
      </c>
      <c r="G85" s="11" t="s">
        <v>137</v>
      </c>
      <c r="H85" s="11" t="s">
        <v>395</v>
      </c>
      <c r="I85" s="11" t="s">
        <v>396</v>
      </c>
      <c r="J85" s="15" t="s">
        <v>107</v>
      </c>
      <c r="K85" s="11" t="s">
        <v>1142</v>
      </c>
      <c r="L85" s="11"/>
      <c r="M85" s="13" t="s">
        <v>1088</v>
      </c>
      <c r="N85" s="13" t="s">
        <v>1084</v>
      </c>
      <c r="O85" s="11" t="s">
        <v>1089</v>
      </c>
    </row>
    <row r="86" spans="1:15" ht="48" hidden="1" customHeight="1">
      <c r="A86" s="13" t="s">
        <v>397</v>
      </c>
      <c r="B86" s="11" t="s">
        <v>280</v>
      </c>
      <c r="C86" s="11" t="s">
        <v>385</v>
      </c>
      <c r="D86" s="11" t="s">
        <v>398</v>
      </c>
      <c r="E86" s="17" t="s">
        <v>22</v>
      </c>
      <c r="F86" s="13" t="s">
        <v>92</v>
      </c>
      <c r="G86" s="11" t="s">
        <v>137</v>
      </c>
      <c r="H86" s="11" t="s">
        <v>398</v>
      </c>
      <c r="I86" s="11" t="s">
        <v>399</v>
      </c>
      <c r="J86" s="16" t="s">
        <v>107</v>
      </c>
      <c r="K86" s="11" t="s">
        <v>1143</v>
      </c>
      <c r="L86" s="11"/>
      <c r="M86" s="13" t="s">
        <v>1088</v>
      </c>
      <c r="N86" s="13" t="s">
        <v>1084</v>
      </c>
      <c r="O86" s="11" t="s">
        <v>1089</v>
      </c>
    </row>
    <row r="87" spans="1:15" ht="48" hidden="1" customHeight="1">
      <c r="A87" s="13" t="s">
        <v>400</v>
      </c>
      <c r="B87" s="11" t="s">
        <v>280</v>
      </c>
      <c r="C87" s="11" t="s">
        <v>385</v>
      </c>
      <c r="D87" s="11" t="s">
        <v>401</v>
      </c>
      <c r="E87" s="17" t="s">
        <v>22</v>
      </c>
      <c r="F87" s="13" t="s">
        <v>92</v>
      </c>
      <c r="G87" s="11" t="s">
        <v>137</v>
      </c>
      <c r="H87" s="11" t="s">
        <v>401</v>
      </c>
      <c r="I87" s="11" t="s">
        <v>402</v>
      </c>
      <c r="J87" s="15" t="s">
        <v>107</v>
      </c>
      <c r="K87" s="11" t="s">
        <v>1144</v>
      </c>
      <c r="L87" s="11"/>
      <c r="M87" s="13" t="s">
        <v>1088</v>
      </c>
      <c r="N87" s="13" t="s">
        <v>1084</v>
      </c>
      <c r="O87" s="11" t="s">
        <v>1089</v>
      </c>
    </row>
    <row r="88" spans="1:15" ht="48" hidden="1" customHeight="1">
      <c r="A88" s="13" t="s">
        <v>403</v>
      </c>
      <c r="B88" s="11" t="s">
        <v>280</v>
      </c>
      <c r="C88" s="11" t="s">
        <v>404</v>
      </c>
      <c r="D88" s="11" t="s">
        <v>405</v>
      </c>
      <c r="E88" s="17" t="s">
        <v>22</v>
      </c>
      <c r="F88" s="13" t="s">
        <v>92</v>
      </c>
      <c r="G88" s="11" t="s">
        <v>137</v>
      </c>
      <c r="H88" s="11" t="s">
        <v>405</v>
      </c>
      <c r="I88" s="11" t="s">
        <v>406</v>
      </c>
      <c r="J88" s="15" t="s">
        <v>107</v>
      </c>
      <c r="K88" s="11" t="s">
        <v>1145</v>
      </c>
      <c r="L88" s="11"/>
      <c r="M88" s="13" t="s">
        <v>1088</v>
      </c>
      <c r="N88" s="13" t="s">
        <v>1084</v>
      </c>
      <c r="O88" s="11" t="s">
        <v>1089</v>
      </c>
    </row>
    <row r="89" spans="1:15" ht="48" customHeight="1">
      <c r="A89" s="13" t="s">
        <v>407</v>
      </c>
      <c r="B89" s="11" t="s">
        <v>280</v>
      </c>
      <c r="C89" s="11" t="s">
        <v>404</v>
      </c>
      <c r="D89" s="11" t="s">
        <v>408</v>
      </c>
      <c r="E89" s="17" t="s">
        <v>22</v>
      </c>
      <c r="F89" s="13" t="s">
        <v>92</v>
      </c>
      <c r="G89" s="11" t="s">
        <v>137</v>
      </c>
      <c r="H89" s="11" t="s">
        <v>408</v>
      </c>
      <c r="I89" s="11" t="s">
        <v>409</v>
      </c>
      <c r="J89" s="16" t="s">
        <v>117</v>
      </c>
      <c r="K89" s="11" t="s">
        <v>410</v>
      </c>
      <c r="L89" s="11"/>
      <c r="M89" s="13" t="s">
        <v>109</v>
      </c>
      <c r="N89" s="13" t="s">
        <v>110</v>
      </c>
      <c r="O89" s="11"/>
    </row>
    <row r="90" spans="1:15" ht="48" customHeight="1">
      <c r="A90" s="13" t="s">
        <v>411</v>
      </c>
      <c r="B90" s="11" t="s">
        <v>280</v>
      </c>
      <c r="C90" s="11" t="s">
        <v>404</v>
      </c>
      <c r="D90" s="11" t="s">
        <v>412</v>
      </c>
      <c r="E90" s="17" t="s">
        <v>22</v>
      </c>
      <c r="F90" s="13" t="s">
        <v>92</v>
      </c>
      <c r="G90" s="11" t="s">
        <v>137</v>
      </c>
      <c r="H90" s="11" t="s">
        <v>412</v>
      </c>
      <c r="I90" s="11" t="s">
        <v>171</v>
      </c>
      <c r="J90" s="16" t="s">
        <v>117</v>
      </c>
      <c r="K90" s="11" t="s">
        <v>413</v>
      </c>
      <c r="L90" s="11"/>
      <c r="M90" s="13" t="s">
        <v>109</v>
      </c>
      <c r="N90" s="13" t="s">
        <v>110</v>
      </c>
      <c r="O90" s="11"/>
    </row>
    <row r="91" spans="1:15" ht="48" customHeight="1">
      <c r="A91" s="13" t="s">
        <v>414</v>
      </c>
      <c r="B91" s="11" t="s">
        <v>280</v>
      </c>
      <c r="C91" s="11" t="s">
        <v>404</v>
      </c>
      <c r="D91" s="11" t="s">
        <v>415</v>
      </c>
      <c r="E91" s="17" t="s">
        <v>22</v>
      </c>
      <c r="F91" s="13" t="s">
        <v>92</v>
      </c>
      <c r="G91" s="11" t="s">
        <v>137</v>
      </c>
      <c r="H91" s="11" t="s">
        <v>415</v>
      </c>
      <c r="I91" s="11" t="s">
        <v>416</v>
      </c>
      <c r="J91" s="16" t="s">
        <v>117</v>
      </c>
      <c r="K91" s="11" t="s">
        <v>417</v>
      </c>
      <c r="L91" s="11"/>
      <c r="M91" s="13" t="s">
        <v>109</v>
      </c>
      <c r="N91" s="13" t="s">
        <v>110</v>
      </c>
      <c r="O91" s="11"/>
    </row>
    <row r="92" spans="1:15" ht="48" hidden="1" customHeight="1">
      <c r="A92" s="13" t="s">
        <v>418</v>
      </c>
      <c r="B92" s="11" t="s">
        <v>419</v>
      </c>
      <c r="C92" s="11" t="s">
        <v>420</v>
      </c>
      <c r="D92" s="11" t="s">
        <v>421</v>
      </c>
      <c r="E92" s="14" t="s">
        <v>24</v>
      </c>
      <c r="F92" s="13" t="s">
        <v>92</v>
      </c>
      <c r="G92" s="11" t="s">
        <v>422</v>
      </c>
      <c r="H92" s="11" t="s">
        <v>421</v>
      </c>
      <c r="I92" s="11" t="s">
        <v>423</v>
      </c>
      <c r="J92" s="15" t="s">
        <v>107</v>
      </c>
      <c r="K92" s="11" t="s">
        <v>1146</v>
      </c>
      <c r="L92" s="11"/>
      <c r="M92" s="13" t="s">
        <v>1088</v>
      </c>
      <c r="N92" s="13" t="s">
        <v>1084</v>
      </c>
      <c r="O92" s="11" t="s">
        <v>1089</v>
      </c>
    </row>
    <row r="93" spans="1:15" ht="48" hidden="1" customHeight="1">
      <c r="A93" s="13" t="s">
        <v>424</v>
      </c>
      <c r="B93" s="11" t="s">
        <v>419</v>
      </c>
      <c r="C93" s="11" t="s">
        <v>420</v>
      </c>
      <c r="D93" s="11" t="s">
        <v>425</v>
      </c>
      <c r="E93" s="14" t="s">
        <v>24</v>
      </c>
      <c r="F93" s="13" t="s">
        <v>92</v>
      </c>
      <c r="G93" s="11" t="s">
        <v>422</v>
      </c>
      <c r="H93" s="11" t="s">
        <v>425</v>
      </c>
      <c r="I93" s="11" t="s">
        <v>426</v>
      </c>
      <c r="J93" s="15" t="s">
        <v>107</v>
      </c>
      <c r="K93" s="11" t="s">
        <v>427</v>
      </c>
      <c r="L93" s="11"/>
      <c r="M93" s="13" t="s">
        <v>109</v>
      </c>
      <c r="N93" s="13" t="s">
        <v>110</v>
      </c>
      <c r="O93" s="11"/>
    </row>
    <row r="94" spans="1:15" ht="48" customHeight="1">
      <c r="A94" s="13" t="s">
        <v>428</v>
      </c>
      <c r="B94" s="11" t="s">
        <v>419</v>
      </c>
      <c r="C94" s="11" t="s">
        <v>420</v>
      </c>
      <c r="D94" s="11" t="s">
        <v>429</v>
      </c>
      <c r="E94" s="14" t="s">
        <v>24</v>
      </c>
      <c r="F94" s="13" t="s">
        <v>92</v>
      </c>
      <c r="G94" s="11" t="s">
        <v>422</v>
      </c>
      <c r="H94" s="11" t="s">
        <v>429</v>
      </c>
      <c r="I94" s="11" t="s">
        <v>430</v>
      </c>
      <c r="J94" s="13" t="s">
        <v>180</v>
      </c>
      <c r="K94" s="11"/>
      <c r="L94" s="11"/>
      <c r="M94" s="13"/>
      <c r="N94" s="13"/>
      <c r="O94" s="11" t="s">
        <v>431</v>
      </c>
    </row>
    <row r="95" spans="1:15" ht="48" customHeight="1">
      <c r="A95" s="13" t="s">
        <v>432</v>
      </c>
      <c r="B95" s="11" t="s">
        <v>419</v>
      </c>
      <c r="C95" s="11" t="s">
        <v>420</v>
      </c>
      <c r="D95" s="11" t="s">
        <v>433</v>
      </c>
      <c r="E95" s="14" t="s">
        <v>24</v>
      </c>
      <c r="F95" s="13" t="s">
        <v>92</v>
      </c>
      <c r="G95" s="11" t="s">
        <v>422</v>
      </c>
      <c r="H95" s="11" t="s">
        <v>433</v>
      </c>
      <c r="I95" s="11" t="s">
        <v>434</v>
      </c>
      <c r="J95" s="16" t="s">
        <v>117</v>
      </c>
      <c r="K95" s="11" t="s">
        <v>435</v>
      </c>
      <c r="L95" s="11"/>
      <c r="M95" s="13" t="s">
        <v>109</v>
      </c>
      <c r="N95" s="13" t="s">
        <v>110</v>
      </c>
      <c r="O95" s="11"/>
    </row>
    <row r="96" spans="1:15" ht="48" customHeight="1">
      <c r="A96" s="13" t="s">
        <v>436</v>
      </c>
      <c r="B96" s="11" t="s">
        <v>419</v>
      </c>
      <c r="C96" s="11" t="s">
        <v>420</v>
      </c>
      <c r="D96" s="11" t="s">
        <v>437</v>
      </c>
      <c r="E96" s="14" t="s">
        <v>24</v>
      </c>
      <c r="F96" s="13" t="s">
        <v>92</v>
      </c>
      <c r="G96" s="11" t="s">
        <v>422</v>
      </c>
      <c r="H96" s="11" t="s">
        <v>437</v>
      </c>
      <c r="I96" s="11" t="s">
        <v>438</v>
      </c>
      <c r="J96" s="13" t="s">
        <v>180</v>
      </c>
      <c r="K96" s="11"/>
      <c r="L96" s="11"/>
      <c r="M96" s="13"/>
      <c r="N96" s="13"/>
      <c r="O96" s="11" t="s">
        <v>439</v>
      </c>
    </row>
    <row r="97" spans="1:15" ht="48" customHeight="1">
      <c r="A97" s="13" t="s">
        <v>440</v>
      </c>
      <c r="B97" s="11" t="s">
        <v>419</v>
      </c>
      <c r="C97" s="11" t="s">
        <v>420</v>
      </c>
      <c r="D97" s="11" t="s">
        <v>441</v>
      </c>
      <c r="E97" s="14" t="s">
        <v>24</v>
      </c>
      <c r="F97" s="13" t="s">
        <v>92</v>
      </c>
      <c r="G97" s="11" t="s">
        <v>422</v>
      </c>
      <c r="H97" s="11" t="s">
        <v>441</v>
      </c>
      <c r="I97" s="11" t="s">
        <v>442</v>
      </c>
      <c r="J97" s="13" t="s">
        <v>180</v>
      </c>
      <c r="K97" s="11"/>
      <c r="L97" s="11"/>
      <c r="M97" s="13"/>
      <c r="N97" s="13"/>
      <c r="O97" s="11" t="s">
        <v>443</v>
      </c>
    </row>
    <row r="98" spans="1:15" ht="48" hidden="1" customHeight="1">
      <c r="A98" s="13" t="s">
        <v>444</v>
      </c>
      <c r="B98" s="11" t="s">
        <v>419</v>
      </c>
      <c r="C98" s="11" t="s">
        <v>420</v>
      </c>
      <c r="D98" s="11" t="s">
        <v>445</v>
      </c>
      <c r="E98" s="14" t="s">
        <v>24</v>
      </c>
      <c r="F98" s="13" t="s">
        <v>92</v>
      </c>
      <c r="G98" s="11" t="s">
        <v>422</v>
      </c>
      <c r="H98" s="11" t="s">
        <v>445</v>
      </c>
      <c r="I98" s="11" t="s">
        <v>446</v>
      </c>
      <c r="J98" s="13" t="s">
        <v>107</v>
      </c>
      <c r="K98" s="11" t="s">
        <v>1147</v>
      </c>
      <c r="L98" s="11"/>
      <c r="M98" s="13" t="s">
        <v>1088</v>
      </c>
      <c r="N98" s="13" t="s">
        <v>1084</v>
      </c>
      <c r="O98" s="11" t="s">
        <v>1089</v>
      </c>
    </row>
    <row r="99" spans="1:15" ht="48" hidden="1" customHeight="1">
      <c r="A99" s="13" t="s">
        <v>447</v>
      </c>
      <c r="B99" s="11" t="s">
        <v>419</v>
      </c>
      <c r="C99" s="11" t="s">
        <v>448</v>
      </c>
      <c r="D99" s="11" t="s">
        <v>449</v>
      </c>
      <c r="E99" s="14" t="s">
        <v>24</v>
      </c>
      <c r="F99" s="13" t="s">
        <v>92</v>
      </c>
      <c r="G99" s="11" t="s">
        <v>422</v>
      </c>
      <c r="H99" s="11" t="s">
        <v>449</v>
      </c>
      <c r="I99" s="11" t="s">
        <v>450</v>
      </c>
      <c r="J99" s="18" t="s">
        <v>107</v>
      </c>
      <c r="K99" s="11" t="s">
        <v>1148</v>
      </c>
      <c r="L99" s="11"/>
      <c r="M99" s="13" t="s">
        <v>1088</v>
      </c>
      <c r="N99" s="13" t="s">
        <v>1084</v>
      </c>
      <c r="O99" s="11" t="s">
        <v>1089</v>
      </c>
    </row>
    <row r="100" spans="1:15" ht="48" hidden="1" customHeight="1">
      <c r="A100" s="13" t="s">
        <v>451</v>
      </c>
      <c r="B100" s="11" t="s">
        <v>419</v>
      </c>
      <c r="C100" s="11" t="s">
        <v>448</v>
      </c>
      <c r="D100" s="11" t="s">
        <v>452</v>
      </c>
      <c r="E100" s="14" t="s">
        <v>24</v>
      </c>
      <c r="F100" s="13" t="s">
        <v>92</v>
      </c>
      <c r="G100" s="11" t="s">
        <v>422</v>
      </c>
      <c r="H100" s="11" t="s">
        <v>452</v>
      </c>
      <c r="I100" s="11" t="s">
        <v>453</v>
      </c>
      <c r="J100" s="18" t="s">
        <v>107</v>
      </c>
      <c r="K100" s="11" t="s">
        <v>1149</v>
      </c>
      <c r="L100" s="11"/>
      <c r="M100" s="13" t="s">
        <v>1088</v>
      </c>
      <c r="N100" s="13" t="s">
        <v>1084</v>
      </c>
      <c r="O100" s="11" t="s">
        <v>1089</v>
      </c>
    </row>
    <row r="101" spans="1:15" ht="48" customHeight="1">
      <c r="A101" s="13" t="s">
        <v>454</v>
      </c>
      <c r="B101" s="11" t="s">
        <v>419</v>
      </c>
      <c r="C101" s="11" t="s">
        <v>448</v>
      </c>
      <c r="D101" s="11" t="s">
        <v>455</v>
      </c>
      <c r="E101" s="14" t="s">
        <v>24</v>
      </c>
      <c r="F101" s="13" t="s">
        <v>92</v>
      </c>
      <c r="G101" s="11" t="s">
        <v>422</v>
      </c>
      <c r="H101" s="11" t="s">
        <v>455</v>
      </c>
      <c r="I101" s="11" t="s">
        <v>456</v>
      </c>
      <c r="J101" s="16" t="s">
        <v>117</v>
      </c>
      <c r="K101" s="11" t="s">
        <v>457</v>
      </c>
      <c r="L101" s="11"/>
      <c r="M101" s="13" t="s">
        <v>109</v>
      </c>
      <c r="N101" s="13" t="s">
        <v>110</v>
      </c>
      <c r="O101" s="11" t="s">
        <v>458</v>
      </c>
    </row>
    <row r="102" spans="1:15" ht="48" hidden="1" customHeight="1">
      <c r="A102" s="13" t="s">
        <v>459</v>
      </c>
      <c r="B102" s="11" t="s">
        <v>419</v>
      </c>
      <c r="C102" s="11" t="s">
        <v>448</v>
      </c>
      <c r="D102" s="11" t="s">
        <v>460</v>
      </c>
      <c r="E102" s="14" t="s">
        <v>24</v>
      </c>
      <c r="F102" s="13" t="s">
        <v>92</v>
      </c>
      <c r="G102" s="11" t="s">
        <v>422</v>
      </c>
      <c r="H102" s="11" t="s">
        <v>460</v>
      </c>
      <c r="I102" s="11" t="s">
        <v>461</v>
      </c>
      <c r="J102" s="15" t="s">
        <v>107</v>
      </c>
      <c r="K102" s="11" t="s">
        <v>462</v>
      </c>
      <c r="L102" s="11"/>
      <c r="M102" s="13" t="s">
        <v>109</v>
      </c>
      <c r="N102" s="13" t="s">
        <v>110</v>
      </c>
      <c r="O102" s="11" t="s">
        <v>463</v>
      </c>
    </row>
    <row r="103" spans="1:15" ht="48" customHeight="1">
      <c r="A103" s="13" t="s">
        <v>464</v>
      </c>
      <c r="B103" s="11" t="s">
        <v>419</v>
      </c>
      <c r="C103" s="11" t="s">
        <v>448</v>
      </c>
      <c r="D103" s="11" t="s">
        <v>465</v>
      </c>
      <c r="E103" s="14" t="s">
        <v>24</v>
      </c>
      <c r="F103" s="13" t="s">
        <v>92</v>
      </c>
      <c r="G103" s="11" t="s">
        <v>422</v>
      </c>
      <c r="H103" s="11" t="s">
        <v>465</v>
      </c>
      <c r="I103" s="11" t="s">
        <v>466</v>
      </c>
      <c r="J103" s="16" t="s">
        <v>117</v>
      </c>
      <c r="K103" s="11" t="s">
        <v>467</v>
      </c>
      <c r="L103" s="11"/>
      <c r="M103" s="13" t="s">
        <v>109</v>
      </c>
      <c r="N103" s="13" t="s">
        <v>110</v>
      </c>
      <c r="O103" s="11"/>
    </row>
    <row r="104" spans="1:15" ht="48" customHeight="1">
      <c r="A104" s="13" t="s">
        <v>468</v>
      </c>
      <c r="B104" s="11" t="s">
        <v>419</v>
      </c>
      <c r="C104" s="11" t="s">
        <v>448</v>
      </c>
      <c r="D104" s="11" t="s">
        <v>469</v>
      </c>
      <c r="E104" s="14" t="s">
        <v>24</v>
      </c>
      <c r="F104" s="13" t="s">
        <v>92</v>
      </c>
      <c r="G104" s="11" t="s">
        <v>422</v>
      </c>
      <c r="H104" s="11" t="s">
        <v>469</v>
      </c>
      <c r="I104" s="11" t="s">
        <v>470</v>
      </c>
      <c r="J104" s="16" t="s">
        <v>117</v>
      </c>
      <c r="K104" s="11" t="s">
        <v>471</v>
      </c>
      <c r="L104" s="11"/>
      <c r="M104" s="13" t="s">
        <v>109</v>
      </c>
      <c r="N104" s="13" t="s">
        <v>110</v>
      </c>
      <c r="O104" s="11"/>
    </row>
    <row r="105" spans="1:15" ht="48" hidden="1" customHeight="1">
      <c r="A105" s="13" t="s">
        <v>472</v>
      </c>
      <c r="B105" s="11" t="s">
        <v>419</v>
      </c>
      <c r="C105" s="11" t="s">
        <v>473</v>
      </c>
      <c r="D105" s="11" t="s">
        <v>474</v>
      </c>
      <c r="E105" s="14" t="s">
        <v>24</v>
      </c>
      <c r="F105" s="13" t="s">
        <v>92</v>
      </c>
      <c r="G105" s="11" t="s">
        <v>422</v>
      </c>
      <c r="H105" s="11" t="s">
        <v>474</v>
      </c>
      <c r="I105" s="11" t="s">
        <v>475</v>
      </c>
      <c r="J105" s="13" t="s">
        <v>107</v>
      </c>
      <c r="K105" s="11" t="s">
        <v>1150</v>
      </c>
      <c r="L105" s="11"/>
      <c r="M105" s="13" t="s">
        <v>1088</v>
      </c>
      <c r="N105" s="13" t="s">
        <v>1084</v>
      </c>
      <c r="O105" s="11" t="s">
        <v>1089</v>
      </c>
    </row>
    <row r="106" spans="1:15" ht="48" customHeight="1">
      <c r="A106" s="13" t="s">
        <v>476</v>
      </c>
      <c r="B106" s="11" t="s">
        <v>419</v>
      </c>
      <c r="C106" s="11" t="s">
        <v>473</v>
      </c>
      <c r="D106" s="11" t="s">
        <v>477</v>
      </c>
      <c r="E106" s="14" t="s">
        <v>24</v>
      </c>
      <c r="F106" s="13" t="s">
        <v>92</v>
      </c>
      <c r="G106" s="11" t="s">
        <v>422</v>
      </c>
      <c r="H106" s="11" t="s">
        <v>477</v>
      </c>
      <c r="I106" s="11" t="s">
        <v>478</v>
      </c>
      <c r="J106" s="13" t="s">
        <v>1136</v>
      </c>
      <c r="K106" s="11" t="s">
        <v>1151</v>
      </c>
      <c r="L106" s="11"/>
      <c r="M106" s="13" t="s">
        <v>1088</v>
      </c>
      <c r="N106" s="13" t="s">
        <v>1084</v>
      </c>
      <c r="O106" s="11" t="s">
        <v>1089</v>
      </c>
    </row>
    <row r="107" spans="1:15" ht="48" customHeight="1">
      <c r="A107" s="13" t="s">
        <v>479</v>
      </c>
      <c r="B107" s="11" t="s">
        <v>419</v>
      </c>
      <c r="C107" s="11" t="s">
        <v>473</v>
      </c>
      <c r="D107" s="11" t="s">
        <v>480</v>
      </c>
      <c r="E107" s="14" t="s">
        <v>24</v>
      </c>
      <c r="F107" s="13" t="s">
        <v>92</v>
      </c>
      <c r="G107" s="11" t="s">
        <v>422</v>
      </c>
      <c r="H107" s="11" t="s">
        <v>480</v>
      </c>
      <c r="I107" s="11" t="s">
        <v>481</v>
      </c>
      <c r="J107" s="13" t="s">
        <v>180</v>
      </c>
      <c r="K107" s="11"/>
      <c r="L107" s="11"/>
      <c r="M107" s="13"/>
      <c r="N107" s="13"/>
      <c r="O107" s="11"/>
    </row>
    <row r="108" spans="1:15" ht="48" customHeight="1">
      <c r="A108" s="13" t="s">
        <v>482</v>
      </c>
      <c r="B108" s="11" t="s">
        <v>419</v>
      </c>
      <c r="C108" s="11" t="s">
        <v>473</v>
      </c>
      <c r="D108" s="11" t="s">
        <v>483</v>
      </c>
      <c r="E108" s="14" t="s">
        <v>24</v>
      </c>
      <c r="F108" s="13" t="s">
        <v>92</v>
      </c>
      <c r="G108" s="11" t="s">
        <v>422</v>
      </c>
      <c r="H108" s="11" t="s">
        <v>483</v>
      </c>
      <c r="I108" s="11" t="s">
        <v>484</v>
      </c>
      <c r="J108" s="13" t="s">
        <v>180</v>
      </c>
      <c r="K108" s="11"/>
      <c r="L108" s="11"/>
      <c r="M108" s="13"/>
      <c r="N108" s="13"/>
      <c r="O108" s="11"/>
    </row>
    <row r="109" spans="1:15" ht="48" customHeight="1">
      <c r="A109" s="13" t="s">
        <v>485</v>
      </c>
      <c r="B109" s="11" t="s">
        <v>419</v>
      </c>
      <c r="C109" s="11" t="s">
        <v>473</v>
      </c>
      <c r="D109" s="11" t="s">
        <v>486</v>
      </c>
      <c r="E109" s="14" t="s">
        <v>24</v>
      </c>
      <c r="F109" s="13" t="s">
        <v>92</v>
      </c>
      <c r="G109" s="11" t="s">
        <v>422</v>
      </c>
      <c r="H109" s="11" t="s">
        <v>486</v>
      </c>
      <c r="I109" s="11" t="s">
        <v>487</v>
      </c>
      <c r="J109" s="13" t="s">
        <v>180</v>
      </c>
      <c r="K109" s="11"/>
      <c r="L109" s="11"/>
      <c r="M109" s="13"/>
      <c r="N109" s="13"/>
      <c r="O109" s="11"/>
    </row>
    <row r="110" spans="1:15" ht="48" customHeight="1">
      <c r="A110" s="13" t="s">
        <v>488</v>
      </c>
      <c r="B110" s="11" t="s">
        <v>419</v>
      </c>
      <c r="C110" s="11" t="s">
        <v>473</v>
      </c>
      <c r="D110" s="11" t="s">
        <v>489</v>
      </c>
      <c r="E110" s="14" t="s">
        <v>24</v>
      </c>
      <c r="F110" s="13" t="s">
        <v>92</v>
      </c>
      <c r="G110" s="11" t="s">
        <v>422</v>
      </c>
      <c r="H110" s="11" t="s">
        <v>489</v>
      </c>
      <c r="I110" s="11" t="s">
        <v>490</v>
      </c>
      <c r="J110" s="13" t="s">
        <v>1136</v>
      </c>
      <c r="K110" s="11" t="s">
        <v>1152</v>
      </c>
      <c r="L110" s="11"/>
      <c r="M110" s="13" t="s">
        <v>1088</v>
      </c>
      <c r="N110" s="13" t="s">
        <v>1084</v>
      </c>
      <c r="O110" s="11" t="s">
        <v>1089</v>
      </c>
    </row>
    <row r="111" spans="1:15" ht="48" customHeight="1">
      <c r="A111" s="13" t="s">
        <v>491</v>
      </c>
      <c r="B111" s="11" t="s">
        <v>419</v>
      </c>
      <c r="C111" s="11" t="s">
        <v>473</v>
      </c>
      <c r="D111" s="11" t="s">
        <v>492</v>
      </c>
      <c r="E111" s="14" t="s">
        <v>24</v>
      </c>
      <c r="F111" s="13" t="s">
        <v>92</v>
      </c>
      <c r="G111" s="11" t="s">
        <v>422</v>
      </c>
      <c r="H111" s="11" t="s">
        <v>492</v>
      </c>
      <c r="I111" s="11" t="s">
        <v>493</v>
      </c>
      <c r="J111" s="13" t="s">
        <v>180</v>
      </c>
      <c r="K111" s="11"/>
      <c r="L111" s="11"/>
      <c r="M111" s="13"/>
      <c r="N111" s="13"/>
      <c r="O111" s="11"/>
    </row>
    <row r="112" spans="1:15" ht="48" customHeight="1">
      <c r="A112" s="13" t="s">
        <v>494</v>
      </c>
      <c r="B112" s="11" t="s">
        <v>419</v>
      </c>
      <c r="C112" s="11" t="s">
        <v>473</v>
      </c>
      <c r="D112" s="11" t="s">
        <v>495</v>
      </c>
      <c r="E112" s="14" t="s">
        <v>24</v>
      </c>
      <c r="F112" s="13" t="s">
        <v>92</v>
      </c>
      <c r="G112" s="11" t="s">
        <v>422</v>
      </c>
      <c r="H112" s="11" t="s">
        <v>495</v>
      </c>
      <c r="I112" s="11" t="s">
        <v>496</v>
      </c>
      <c r="J112" s="13" t="s">
        <v>180</v>
      </c>
      <c r="K112" s="11"/>
      <c r="L112" s="11"/>
      <c r="M112" s="13"/>
      <c r="N112" s="13"/>
      <c r="O112" s="11"/>
    </row>
    <row r="113" spans="1:15" ht="48" hidden="1" customHeight="1">
      <c r="A113" s="13" t="s">
        <v>497</v>
      </c>
      <c r="B113" s="11" t="s">
        <v>498</v>
      </c>
      <c r="C113" s="11" t="s">
        <v>499</v>
      </c>
      <c r="D113" s="11" t="s">
        <v>500</v>
      </c>
      <c r="E113" s="19" t="s">
        <v>26</v>
      </c>
      <c r="F113" s="13" t="s">
        <v>92</v>
      </c>
      <c r="G113" s="11" t="s">
        <v>137</v>
      </c>
      <c r="H113" s="11" t="s">
        <v>501</v>
      </c>
      <c r="I113" s="11" t="s">
        <v>502</v>
      </c>
      <c r="J113" s="15" t="s">
        <v>107</v>
      </c>
      <c r="K113" s="11" t="s">
        <v>503</v>
      </c>
      <c r="L113" s="11"/>
      <c r="M113" s="13" t="s">
        <v>109</v>
      </c>
      <c r="N113" s="13" t="s">
        <v>110</v>
      </c>
      <c r="O113" s="11"/>
    </row>
    <row r="114" spans="1:15" ht="48" hidden="1" customHeight="1">
      <c r="A114" s="13" t="s">
        <v>504</v>
      </c>
      <c r="B114" s="11" t="s">
        <v>498</v>
      </c>
      <c r="C114" s="11" t="s">
        <v>499</v>
      </c>
      <c r="D114" s="11" t="s">
        <v>505</v>
      </c>
      <c r="E114" s="19" t="s">
        <v>26</v>
      </c>
      <c r="F114" s="13" t="s">
        <v>92</v>
      </c>
      <c r="G114" s="11" t="s">
        <v>137</v>
      </c>
      <c r="H114" s="11" t="s">
        <v>506</v>
      </c>
      <c r="I114" s="11" t="s">
        <v>507</v>
      </c>
      <c r="J114" s="15" t="s">
        <v>107</v>
      </c>
      <c r="K114" s="11" t="s">
        <v>508</v>
      </c>
      <c r="L114" s="11"/>
      <c r="M114" s="13" t="s">
        <v>109</v>
      </c>
      <c r="N114" s="13" t="s">
        <v>110</v>
      </c>
      <c r="O114" s="11"/>
    </row>
    <row r="115" spans="1:15" ht="48" hidden="1" customHeight="1">
      <c r="A115" s="13" t="s">
        <v>509</v>
      </c>
      <c r="B115" s="11" t="s">
        <v>498</v>
      </c>
      <c r="C115" s="11" t="s">
        <v>499</v>
      </c>
      <c r="D115" s="11" t="s">
        <v>510</v>
      </c>
      <c r="E115" s="19" t="s">
        <v>26</v>
      </c>
      <c r="F115" s="13" t="s">
        <v>92</v>
      </c>
      <c r="G115" s="11" t="s">
        <v>137</v>
      </c>
      <c r="H115" s="11" t="s">
        <v>511</v>
      </c>
      <c r="I115" s="11" t="s">
        <v>512</v>
      </c>
      <c r="J115" s="15" t="s">
        <v>107</v>
      </c>
      <c r="K115" s="11" t="s">
        <v>513</v>
      </c>
      <c r="L115" s="11"/>
      <c r="M115" s="13" t="s">
        <v>109</v>
      </c>
      <c r="N115" s="13" t="s">
        <v>110</v>
      </c>
      <c r="O115" s="11" t="s">
        <v>514</v>
      </c>
    </row>
    <row r="116" spans="1:15" ht="48" hidden="1" customHeight="1">
      <c r="A116" s="13" t="s">
        <v>515</v>
      </c>
      <c r="B116" s="11" t="s">
        <v>498</v>
      </c>
      <c r="C116" s="11" t="s">
        <v>516</v>
      </c>
      <c r="D116" s="11" t="s">
        <v>517</v>
      </c>
      <c r="E116" s="19" t="s">
        <v>26</v>
      </c>
      <c r="F116" s="13" t="s">
        <v>92</v>
      </c>
      <c r="G116" s="11" t="s">
        <v>137</v>
      </c>
      <c r="H116" s="11" t="s">
        <v>517</v>
      </c>
      <c r="I116" s="11" t="s">
        <v>518</v>
      </c>
      <c r="J116" s="15" t="s">
        <v>107</v>
      </c>
      <c r="K116" s="11" t="s">
        <v>519</v>
      </c>
      <c r="L116" s="11"/>
      <c r="M116" s="13" t="s">
        <v>109</v>
      </c>
      <c r="N116" s="13" t="s">
        <v>110</v>
      </c>
      <c r="O116" s="11"/>
    </row>
    <row r="117" spans="1:15" ht="48" customHeight="1">
      <c r="A117" s="13" t="s">
        <v>520</v>
      </c>
      <c r="B117" s="11" t="s">
        <v>498</v>
      </c>
      <c r="C117" s="11" t="s">
        <v>516</v>
      </c>
      <c r="D117" s="11" t="s">
        <v>521</v>
      </c>
      <c r="E117" s="19" t="s">
        <v>26</v>
      </c>
      <c r="F117" s="13" t="s">
        <v>92</v>
      </c>
      <c r="G117" s="11" t="s">
        <v>137</v>
      </c>
      <c r="H117" s="11" t="s">
        <v>521</v>
      </c>
      <c r="I117" s="11" t="s">
        <v>522</v>
      </c>
      <c r="J117" s="16" t="s">
        <v>117</v>
      </c>
      <c r="K117" s="11" t="s">
        <v>523</v>
      </c>
      <c r="L117" s="11"/>
      <c r="M117" s="13" t="s">
        <v>109</v>
      </c>
      <c r="N117" s="13" t="s">
        <v>110</v>
      </c>
      <c r="O117" s="11"/>
    </row>
    <row r="118" spans="1:15" ht="48" hidden="1" customHeight="1">
      <c r="A118" s="13" t="s">
        <v>524</v>
      </c>
      <c r="B118" s="11" t="s">
        <v>498</v>
      </c>
      <c r="C118" s="11" t="s">
        <v>516</v>
      </c>
      <c r="D118" s="11" t="s">
        <v>525</v>
      </c>
      <c r="E118" s="19" t="s">
        <v>26</v>
      </c>
      <c r="F118" s="13" t="s">
        <v>92</v>
      </c>
      <c r="G118" s="11" t="s">
        <v>137</v>
      </c>
      <c r="H118" s="11" t="s">
        <v>525</v>
      </c>
      <c r="I118" s="11" t="s">
        <v>526</v>
      </c>
      <c r="J118" s="15" t="s">
        <v>107</v>
      </c>
      <c r="K118" s="11" t="s">
        <v>527</v>
      </c>
      <c r="L118" s="11"/>
      <c r="M118" s="13" t="s">
        <v>109</v>
      </c>
      <c r="N118" s="13" t="s">
        <v>110</v>
      </c>
      <c r="O118" s="11"/>
    </row>
    <row r="119" spans="1:15" ht="48" hidden="1" customHeight="1">
      <c r="A119" s="13" t="s">
        <v>528</v>
      </c>
      <c r="B119" s="11" t="s">
        <v>498</v>
      </c>
      <c r="C119" s="11" t="s">
        <v>516</v>
      </c>
      <c r="D119" s="11" t="s">
        <v>529</v>
      </c>
      <c r="E119" s="19" t="s">
        <v>26</v>
      </c>
      <c r="F119" s="13" t="s">
        <v>92</v>
      </c>
      <c r="G119" s="11" t="s">
        <v>137</v>
      </c>
      <c r="H119" s="11" t="s">
        <v>529</v>
      </c>
      <c r="I119" s="11" t="s">
        <v>530</v>
      </c>
      <c r="J119" s="15" t="s">
        <v>107</v>
      </c>
      <c r="K119" s="11" t="s">
        <v>531</v>
      </c>
      <c r="L119" s="11"/>
      <c r="M119" s="13" t="s">
        <v>109</v>
      </c>
      <c r="N119" s="13" t="s">
        <v>110</v>
      </c>
      <c r="O119" s="11"/>
    </row>
    <row r="120" spans="1:15" ht="48" customHeight="1">
      <c r="A120" s="13" t="s">
        <v>532</v>
      </c>
      <c r="B120" s="11" t="s">
        <v>498</v>
      </c>
      <c r="C120" s="11" t="s">
        <v>516</v>
      </c>
      <c r="D120" s="11" t="s">
        <v>533</v>
      </c>
      <c r="E120" s="19" t="s">
        <v>26</v>
      </c>
      <c r="F120" s="13" t="s">
        <v>92</v>
      </c>
      <c r="G120" s="11" t="s">
        <v>137</v>
      </c>
      <c r="H120" s="11" t="s">
        <v>533</v>
      </c>
      <c r="I120" s="11" t="s">
        <v>534</v>
      </c>
      <c r="J120" s="13" t="s">
        <v>180</v>
      </c>
      <c r="K120" s="11"/>
      <c r="L120" s="11"/>
      <c r="M120" s="13"/>
      <c r="N120" s="13"/>
      <c r="O120" s="11" t="s">
        <v>535</v>
      </c>
    </row>
    <row r="121" spans="1:15" ht="48" customHeight="1">
      <c r="A121" s="13" t="s">
        <v>536</v>
      </c>
      <c r="B121" s="11" t="s">
        <v>498</v>
      </c>
      <c r="C121" s="11" t="s">
        <v>537</v>
      </c>
      <c r="D121" s="11" t="s">
        <v>538</v>
      </c>
      <c r="E121" s="19" t="s">
        <v>26</v>
      </c>
      <c r="F121" s="13" t="s">
        <v>92</v>
      </c>
      <c r="G121" s="11" t="s">
        <v>137</v>
      </c>
      <c r="H121" s="11" t="s">
        <v>538</v>
      </c>
      <c r="I121" s="11" t="s">
        <v>539</v>
      </c>
      <c r="J121" s="16" t="s">
        <v>117</v>
      </c>
      <c r="K121" s="11" t="s">
        <v>540</v>
      </c>
      <c r="L121" s="11"/>
      <c r="M121" s="13" t="s">
        <v>109</v>
      </c>
      <c r="N121" s="13" t="s">
        <v>110</v>
      </c>
      <c r="O121" s="11"/>
    </row>
    <row r="122" spans="1:15" ht="48" customHeight="1">
      <c r="A122" s="13" t="s">
        <v>541</v>
      </c>
      <c r="B122" s="11" t="s">
        <v>498</v>
      </c>
      <c r="C122" s="11" t="s">
        <v>537</v>
      </c>
      <c r="D122" s="11" t="s">
        <v>542</v>
      </c>
      <c r="E122" s="19" t="s">
        <v>26</v>
      </c>
      <c r="F122" s="13" t="s">
        <v>92</v>
      </c>
      <c r="G122" s="11" t="s">
        <v>137</v>
      </c>
      <c r="H122" s="11" t="s">
        <v>542</v>
      </c>
      <c r="I122" s="11" t="s">
        <v>543</v>
      </c>
      <c r="J122" s="16" t="s">
        <v>117</v>
      </c>
      <c r="K122" s="11" t="s">
        <v>544</v>
      </c>
      <c r="L122" s="11"/>
      <c r="M122" s="13" t="s">
        <v>109</v>
      </c>
      <c r="N122" s="13" t="s">
        <v>110</v>
      </c>
      <c r="O122" s="11"/>
    </row>
    <row r="123" spans="1:15" ht="48" hidden="1" customHeight="1">
      <c r="A123" s="13" t="s">
        <v>545</v>
      </c>
      <c r="B123" s="11" t="s">
        <v>498</v>
      </c>
      <c r="C123" s="11" t="s">
        <v>537</v>
      </c>
      <c r="D123" s="11" t="s">
        <v>546</v>
      </c>
      <c r="E123" s="19" t="s">
        <v>26</v>
      </c>
      <c r="F123" s="13" t="s">
        <v>92</v>
      </c>
      <c r="G123" s="11" t="s">
        <v>137</v>
      </c>
      <c r="H123" s="11" t="s">
        <v>546</v>
      </c>
      <c r="I123" s="11" t="s">
        <v>547</v>
      </c>
      <c r="J123" s="15" t="s">
        <v>107</v>
      </c>
      <c r="K123" s="11" t="s">
        <v>548</v>
      </c>
      <c r="L123" s="11" t="s">
        <v>549</v>
      </c>
      <c r="M123" s="13" t="s">
        <v>109</v>
      </c>
      <c r="N123" s="13" t="s">
        <v>110</v>
      </c>
      <c r="O123" s="11" t="s">
        <v>550</v>
      </c>
    </row>
    <row r="124" spans="1:15" ht="48" customHeight="1">
      <c r="A124" s="13" t="s">
        <v>551</v>
      </c>
      <c r="B124" s="11" t="s">
        <v>498</v>
      </c>
      <c r="C124" s="11" t="s">
        <v>537</v>
      </c>
      <c r="D124" s="11" t="s">
        <v>552</v>
      </c>
      <c r="E124" s="19" t="s">
        <v>26</v>
      </c>
      <c r="F124" s="13" t="s">
        <v>92</v>
      </c>
      <c r="G124" s="11" t="s">
        <v>137</v>
      </c>
      <c r="H124" s="11" t="s">
        <v>552</v>
      </c>
      <c r="I124" s="11" t="s">
        <v>553</v>
      </c>
      <c r="J124" s="16" t="s">
        <v>117</v>
      </c>
      <c r="K124" s="11" t="s">
        <v>554</v>
      </c>
      <c r="L124" s="11"/>
      <c r="M124" s="13" t="s">
        <v>109</v>
      </c>
      <c r="N124" s="13" t="s">
        <v>110</v>
      </c>
      <c r="O124" s="11"/>
    </row>
    <row r="125" spans="1:15" ht="48" hidden="1" customHeight="1">
      <c r="A125" s="13" t="s">
        <v>555</v>
      </c>
      <c r="B125" s="11" t="s">
        <v>556</v>
      </c>
      <c r="C125" s="11" t="s">
        <v>557</v>
      </c>
      <c r="D125" s="11" t="s">
        <v>558</v>
      </c>
      <c r="E125" s="14" t="s">
        <v>24</v>
      </c>
      <c r="F125" s="13" t="s">
        <v>92</v>
      </c>
      <c r="G125" s="11" t="s">
        <v>559</v>
      </c>
      <c r="H125" s="11" t="s">
        <v>558</v>
      </c>
      <c r="I125" s="11" t="s">
        <v>560</v>
      </c>
      <c r="J125" s="15" t="s">
        <v>107</v>
      </c>
      <c r="K125" s="11" t="s">
        <v>1153</v>
      </c>
      <c r="L125" s="11"/>
      <c r="M125" s="13" t="s">
        <v>1088</v>
      </c>
      <c r="N125" s="13" t="s">
        <v>1084</v>
      </c>
      <c r="O125" s="11" t="s">
        <v>1089</v>
      </c>
    </row>
    <row r="126" spans="1:15" ht="48" hidden="1" customHeight="1">
      <c r="A126" s="13" t="s">
        <v>561</v>
      </c>
      <c r="B126" s="11" t="s">
        <v>556</v>
      </c>
      <c r="C126" s="11" t="s">
        <v>557</v>
      </c>
      <c r="D126" s="11" t="s">
        <v>562</v>
      </c>
      <c r="E126" s="14" t="s">
        <v>24</v>
      </c>
      <c r="F126" s="13" t="s">
        <v>92</v>
      </c>
      <c r="G126" s="11" t="s">
        <v>559</v>
      </c>
      <c r="H126" s="11" t="s">
        <v>562</v>
      </c>
      <c r="I126" s="11" t="s">
        <v>563</v>
      </c>
      <c r="J126" s="15" t="s">
        <v>107</v>
      </c>
      <c r="K126" s="11" t="s">
        <v>564</v>
      </c>
      <c r="L126" s="11"/>
      <c r="M126" s="13" t="s">
        <v>109</v>
      </c>
      <c r="N126" s="13" t="s">
        <v>110</v>
      </c>
      <c r="O126" s="11"/>
    </row>
    <row r="127" spans="1:15" ht="48" hidden="1" customHeight="1">
      <c r="A127" s="13" t="s">
        <v>565</v>
      </c>
      <c r="B127" s="11" t="s">
        <v>556</v>
      </c>
      <c r="C127" s="11" t="s">
        <v>557</v>
      </c>
      <c r="D127" s="11" t="s">
        <v>566</v>
      </c>
      <c r="E127" s="14" t="s">
        <v>24</v>
      </c>
      <c r="F127" s="13" t="s">
        <v>92</v>
      </c>
      <c r="G127" s="11" t="s">
        <v>559</v>
      </c>
      <c r="H127" s="11" t="s">
        <v>566</v>
      </c>
      <c r="I127" s="11" t="s">
        <v>567</v>
      </c>
      <c r="J127" s="15" t="s">
        <v>107</v>
      </c>
      <c r="K127" s="11" t="s">
        <v>568</v>
      </c>
      <c r="L127" s="11"/>
      <c r="M127" s="13" t="s">
        <v>109</v>
      </c>
      <c r="N127" s="13" t="s">
        <v>110</v>
      </c>
      <c r="O127" s="11"/>
    </row>
    <row r="128" spans="1:15" ht="48" hidden="1" customHeight="1">
      <c r="A128" s="13" t="s">
        <v>569</v>
      </c>
      <c r="B128" s="11" t="s">
        <v>556</v>
      </c>
      <c r="C128" s="11" t="s">
        <v>557</v>
      </c>
      <c r="D128" s="11" t="s">
        <v>570</v>
      </c>
      <c r="E128" s="14" t="s">
        <v>24</v>
      </c>
      <c r="F128" s="13" t="s">
        <v>92</v>
      </c>
      <c r="G128" s="11" t="s">
        <v>559</v>
      </c>
      <c r="H128" s="11" t="s">
        <v>570</v>
      </c>
      <c r="I128" s="11" t="s">
        <v>571</v>
      </c>
      <c r="J128" s="15" t="s">
        <v>107</v>
      </c>
      <c r="K128" s="11" t="s">
        <v>572</v>
      </c>
      <c r="L128" s="11"/>
      <c r="M128" s="13" t="s">
        <v>109</v>
      </c>
      <c r="N128" s="13" t="s">
        <v>110</v>
      </c>
      <c r="O128" s="11"/>
    </row>
    <row r="129" spans="1:15" ht="48" hidden="1" customHeight="1">
      <c r="A129" s="13" t="s">
        <v>573</v>
      </c>
      <c r="B129" s="11" t="s">
        <v>556</v>
      </c>
      <c r="C129" s="11" t="s">
        <v>557</v>
      </c>
      <c r="D129" s="11" t="s">
        <v>574</v>
      </c>
      <c r="E129" s="14" t="s">
        <v>24</v>
      </c>
      <c r="F129" s="13" t="s">
        <v>92</v>
      </c>
      <c r="G129" s="11" t="s">
        <v>559</v>
      </c>
      <c r="H129" s="11" t="s">
        <v>574</v>
      </c>
      <c r="I129" s="11" t="s">
        <v>575</v>
      </c>
      <c r="J129" s="15" t="s">
        <v>107</v>
      </c>
      <c r="K129" s="11" t="s">
        <v>576</v>
      </c>
      <c r="L129" s="11"/>
      <c r="M129" s="13" t="s">
        <v>109</v>
      </c>
      <c r="N129" s="13" t="s">
        <v>110</v>
      </c>
      <c r="O129" s="11"/>
    </row>
    <row r="130" spans="1:15" ht="48" customHeight="1">
      <c r="A130" s="13" t="s">
        <v>577</v>
      </c>
      <c r="B130" s="11" t="s">
        <v>556</v>
      </c>
      <c r="C130" s="11" t="s">
        <v>557</v>
      </c>
      <c r="D130" s="11" t="s">
        <v>578</v>
      </c>
      <c r="E130" s="14" t="s">
        <v>24</v>
      </c>
      <c r="F130" s="13" t="s">
        <v>92</v>
      </c>
      <c r="G130" s="11" t="s">
        <v>559</v>
      </c>
      <c r="H130" s="11" t="s">
        <v>578</v>
      </c>
      <c r="I130" s="11" t="s">
        <v>579</v>
      </c>
      <c r="J130" s="13" t="s">
        <v>180</v>
      </c>
      <c r="K130" s="11"/>
      <c r="L130" s="11"/>
      <c r="M130" s="13"/>
      <c r="N130" s="13"/>
      <c r="O130" s="11"/>
    </row>
    <row r="131" spans="1:15" ht="48" hidden="1" customHeight="1">
      <c r="A131" s="13" t="s">
        <v>580</v>
      </c>
      <c r="B131" s="11" t="s">
        <v>556</v>
      </c>
      <c r="C131" s="11" t="s">
        <v>581</v>
      </c>
      <c r="D131" s="11" t="s">
        <v>582</v>
      </c>
      <c r="E131" s="14" t="s">
        <v>24</v>
      </c>
      <c r="F131" s="13" t="s">
        <v>92</v>
      </c>
      <c r="G131" s="11" t="s">
        <v>559</v>
      </c>
      <c r="H131" s="11" t="s">
        <v>582</v>
      </c>
      <c r="I131" s="11" t="s">
        <v>583</v>
      </c>
      <c r="J131" s="15" t="s">
        <v>107</v>
      </c>
      <c r="K131" s="11" t="s">
        <v>1154</v>
      </c>
      <c r="L131" s="11"/>
      <c r="M131" s="13" t="s">
        <v>1088</v>
      </c>
      <c r="N131" s="13" t="s">
        <v>1084</v>
      </c>
      <c r="O131" s="11" t="s">
        <v>1089</v>
      </c>
    </row>
    <row r="132" spans="1:15" ht="48" hidden="1" customHeight="1">
      <c r="A132" s="13" t="s">
        <v>584</v>
      </c>
      <c r="B132" s="11" t="s">
        <v>556</v>
      </c>
      <c r="C132" s="11" t="s">
        <v>581</v>
      </c>
      <c r="D132" s="11" t="s">
        <v>585</v>
      </c>
      <c r="E132" s="14" t="s">
        <v>24</v>
      </c>
      <c r="F132" s="13" t="s">
        <v>92</v>
      </c>
      <c r="G132" s="11" t="s">
        <v>559</v>
      </c>
      <c r="H132" s="11" t="s">
        <v>585</v>
      </c>
      <c r="I132" s="11" t="s">
        <v>586</v>
      </c>
      <c r="J132" s="15" t="s">
        <v>107</v>
      </c>
      <c r="K132" s="11" t="s">
        <v>587</v>
      </c>
      <c r="L132" s="11"/>
      <c r="M132" s="13" t="s">
        <v>109</v>
      </c>
      <c r="N132" s="13" t="s">
        <v>110</v>
      </c>
      <c r="O132" s="11"/>
    </row>
    <row r="133" spans="1:15" ht="48" hidden="1" customHeight="1">
      <c r="A133" s="13" t="s">
        <v>588</v>
      </c>
      <c r="B133" s="11" t="s">
        <v>556</v>
      </c>
      <c r="C133" s="11" t="s">
        <v>581</v>
      </c>
      <c r="D133" s="11" t="s">
        <v>589</v>
      </c>
      <c r="E133" s="14" t="s">
        <v>24</v>
      </c>
      <c r="F133" s="13" t="s">
        <v>92</v>
      </c>
      <c r="G133" s="11" t="s">
        <v>559</v>
      </c>
      <c r="H133" s="11" t="s">
        <v>589</v>
      </c>
      <c r="I133" s="11" t="s">
        <v>590</v>
      </c>
      <c r="J133" s="15" t="s">
        <v>107</v>
      </c>
      <c r="K133" s="11" t="s">
        <v>591</v>
      </c>
      <c r="L133" s="11"/>
      <c r="M133" s="13" t="s">
        <v>109</v>
      </c>
      <c r="N133" s="13" t="s">
        <v>110</v>
      </c>
      <c r="O133" s="11"/>
    </row>
    <row r="134" spans="1:15" ht="48" hidden="1" customHeight="1">
      <c r="A134" s="13" t="s">
        <v>592</v>
      </c>
      <c r="B134" s="11" t="s">
        <v>556</v>
      </c>
      <c r="C134" s="11" t="s">
        <v>581</v>
      </c>
      <c r="D134" s="11" t="s">
        <v>593</v>
      </c>
      <c r="E134" s="14" t="s">
        <v>24</v>
      </c>
      <c r="F134" s="13" t="s">
        <v>92</v>
      </c>
      <c r="G134" s="11" t="s">
        <v>559</v>
      </c>
      <c r="H134" s="11" t="s">
        <v>593</v>
      </c>
      <c r="I134" s="11" t="s">
        <v>594</v>
      </c>
      <c r="J134" s="15" t="s">
        <v>107</v>
      </c>
      <c r="K134" s="11" t="s">
        <v>595</v>
      </c>
      <c r="L134" s="11"/>
      <c r="M134" s="13" t="s">
        <v>109</v>
      </c>
      <c r="N134" s="13" t="s">
        <v>110</v>
      </c>
      <c r="O134" s="11"/>
    </row>
    <row r="135" spans="1:15" ht="48" hidden="1" customHeight="1">
      <c r="A135" s="13" t="s">
        <v>596</v>
      </c>
      <c r="B135" s="11" t="s">
        <v>556</v>
      </c>
      <c r="C135" s="11" t="s">
        <v>581</v>
      </c>
      <c r="D135" s="11" t="s">
        <v>597</v>
      </c>
      <c r="E135" s="14" t="s">
        <v>24</v>
      </c>
      <c r="F135" s="13" t="s">
        <v>92</v>
      </c>
      <c r="G135" s="11" t="s">
        <v>559</v>
      </c>
      <c r="H135" s="11" t="s">
        <v>597</v>
      </c>
      <c r="I135" s="11" t="s">
        <v>598</v>
      </c>
      <c r="J135" s="15" t="s">
        <v>107</v>
      </c>
      <c r="K135" s="11" t="s">
        <v>599</v>
      </c>
      <c r="L135" s="11"/>
      <c r="M135" s="13" t="s">
        <v>109</v>
      </c>
      <c r="N135" s="13" t="s">
        <v>110</v>
      </c>
      <c r="O135" s="11" t="s">
        <v>600</v>
      </c>
    </row>
    <row r="136" spans="1:15" ht="48" hidden="1" customHeight="1">
      <c r="A136" s="13" t="s">
        <v>601</v>
      </c>
      <c r="B136" s="11" t="s">
        <v>556</v>
      </c>
      <c r="C136" s="11" t="s">
        <v>602</v>
      </c>
      <c r="D136" s="11" t="s">
        <v>603</v>
      </c>
      <c r="E136" s="14" t="s">
        <v>24</v>
      </c>
      <c r="F136" s="13" t="s">
        <v>92</v>
      </c>
      <c r="G136" s="11" t="s">
        <v>559</v>
      </c>
      <c r="H136" s="11" t="s">
        <v>603</v>
      </c>
      <c r="I136" s="11" t="s">
        <v>604</v>
      </c>
      <c r="J136" s="15" t="s">
        <v>107</v>
      </c>
      <c r="K136" s="11" t="s">
        <v>605</v>
      </c>
      <c r="L136" s="11"/>
      <c r="M136" s="13" t="s">
        <v>109</v>
      </c>
      <c r="N136" s="13" t="s">
        <v>110</v>
      </c>
      <c r="O136" s="11"/>
    </row>
    <row r="137" spans="1:15" ht="48" hidden="1" customHeight="1">
      <c r="A137" s="13" t="s">
        <v>606</v>
      </c>
      <c r="B137" s="11" t="s">
        <v>556</v>
      </c>
      <c r="C137" s="11" t="s">
        <v>602</v>
      </c>
      <c r="D137" s="11" t="s">
        <v>607</v>
      </c>
      <c r="E137" s="14" t="s">
        <v>24</v>
      </c>
      <c r="F137" s="13" t="s">
        <v>92</v>
      </c>
      <c r="G137" s="11" t="s">
        <v>559</v>
      </c>
      <c r="H137" s="11" t="s">
        <v>607</v>
      </c>
      <c r="I137" s="11" t="s">
        <v>608</v>
      </c>
      <c r="J137" s="15" t="s">
        <v>107</v>
      </c>
      <c r="K137" s="11" t="s">
        <v>609</v>
      </c>
      <c r="L137" s="11"/>
      <c r="M137" s="13" t="s">
        <v>109</v>
      </c>
      <c r="N137" s="13" t="s">
        <v>110</v>
      </c>
      <c r="O137" s="11"/>
    </row>
    <row r="138" spans="1:15" ht="48" hidden="1" customHeight="1">
      <c r="A138" s="13" t="s">
        <v>610</v>
      </c>
      <c r="B138" s="11" t="s">
        <v>556</v>
      </c>
      <c r="C138" s="11" t="s">
        <v>602</v>
      </c>
      <c r="D138" s="11" t="s">
        <v>611</v>
      </c>
      <c r="E138" s="14" t="s">
        <v>24</v>
      </c>
      <c r="F138" s="13" t="s">
        <v>92</v>
      </c>
      <c r="G138" s="11" t="s">
        <v>559</v>
      </c>
      <c r="H138" s="11" t="s">
        <v>611</v>
      </c>
      <c r="I138" s="11" t="s">
        <v>612</v>
      </c>
      <c r="J138" s="15" t="s">
        <v>107</v>
      </c>
      <c r="K138" s="11" t="s">
        <v>613</v>
      </c>
      <c r="L138" s="11"/>
      <c r="M138" s="13" t="s">
        <v>109</v>
      </c>
      <c r="N138" s="13" t="s">
        <v>110</v>
      </c>
      <c r="O138" s="11"/>
    </row>
    <row r="139" spans="1:15" ht="48" hidden="1" customHeight="1">
      <c r="A139" s="13" t="s">
        <v>614</v>
      </c>
      <c r="B139" s="11" t="s">
        <v>556</v>
      </c>
      <c r="C139" s="11" t="s">
        <v>602</v>
      </c>
      <c r="D139" s="11" t="s">
        <v>615</v>
      </c>
      <c r="E139" s="14" t="s">
        <v>24</v>
      </c>
      <c r="F139" s="13" t="s">
        <v>92</v>
      </c>
      <c r="G139" s="11" t="s">
        <v>559</v>
      </c>
      <c r="H139" s="11" t="s">
        <v>615</v>
      </c>
      <c r="I139" s="11" t="s">
        <v>616</v>
      </c>
      <c r="J139" s="15" t="s">
        <v>107</v>
      </c>
      <c r="K139" s="11" t="s">
        <v>617</v>
      </c>
      <c r="L139" s="11"/>
      <c r="M139" s="13" t="s">
        <v>109</v>
      </c>
      <c r="N139" s="13" t="s">
        <v>110</v>
      </c>
      <c r="O139" s="11"/>
    </row>
    <row r="140" spans="1:15" ht="48" hidden="1" customHeight="1">
      <c r="A140" s="13" t="s">
        <v>618</v>
      </c>
      <c r="B140" s="11" t="s">
        <v>556</v>
      </c>
      <c r="C140" s="11" t="s">
        <v>619</v>
      </c>
      <c r="D140" s="11" t="s">
        <v>620</v>
      </c>
      <c r="E140" s="17" t="s">
        <v>22</v>
      </c>
      <c r="F140" s="13" t="s">
        <v>92</v>
      </c>
      <c r="G140" s="11" t="s">
        <v>559</v>
      </c>
      <c r="H140" s="11" t="s">
        <v>620</v>
      </c>
      <c r="I140" s="11" t="s">
        <v>621</v>
      </c>
      <c r="J140" s="15" t="s">
        <v>107</v>
      </c>
      <c r="K140" s="11" t="s">
        <v>1155</v>
      </c>
      <c r="L140" s="11"/>
      <c r="M140" s="13" t="s">
        <v>1088</v>
      </c>
      <c r="N140" s="13" t="s">
        <v>1084</v>
      </c>
      <c r="O140" s="11" t="s">
        <v>1089</v>
      </c>
    </row>
    <row r="141" spans="1:15" ht="48" hidden="1" customHeight="1">
      <c r="A141" s="13" t="s">
        <v>622</v>
      </c>
      <c r="B141" s="11" t="s">
        <v>556</v>
      </c>
      <c r="C141" s="11" t="s">
        <v>619</v>
      </c>
      <c r="D141" s="11" t="s">
        <v>623</v>
      </c>
      <c r="E141" s="17" t="s">
        <v>22</v>
      </c>
      <c r="F141" s="13" t="s">
        <v>92</v>
      </c>
      <c r="G141" s="11" t="s">
        <v>559</v>
      </c>
      <c r="H141" s="11" t="s">
        <v>623</v>
      </c>
      <c r="I141" s="11" t="s">
        <v>624</v>
      </c>
      <c r="J141" s="15" t="s">
        <v>107</v>
      </c>
      <c r="K141" s="11" t="s">
        <v>625</v>
      </c>
      <c r="L141" s="11"/>
      <c r="M141" s="13" t="s">
        <v>109</v>
      </c>
      <c r="N141" s="13" t="s">
        <v>110</v>
      </c>
      <c r="O141" s="11" t="s">
        <v>626</v>
      </c>
    </row>
    <row r="142" spans="1:15" ht="48" customHeight="1">
      <c r="A142" s="13" t="s">
        <v>627</v>
      </c>
      <c r="B142" s="11" t="s">
        <v>556</v>
      </c>
      <c r="C142" s="11" t="s">
        <v>619</v>
      </c>
      <c r="D142" s="11" t="s">
        <v>628</v>
      </c>
      <c r="E142" s="17" t="s">
        <v>22</v>
      </c>
      <c r="F142" s="13" t="s">
        <v>92</v>
      </c>
      <c r="G142" s="11" t="s">
        <v>559</v>
      </c>
      <c r="H142" s="11" t="s">
        <v>628</v>
      </c>
      <c r="I142" s="11" t="s">
        <v>629</v>
      </c>
      <c r="J142" s="18" t="s">
        <v>630</v>
      </c>
      <c r="K142" s="11" t="s">
        <v>631</v>
      </c>
      <c r="L142" s="11" t="s">
        <v>632</v>
      </c>
      <c r="M142" s="13" t="s">
        <v>109</v>
      </c>
      <c r="N142" s="13" t="s">
        <v>110</v>
      </c>
      <c r="O142" s="11" t="s">
        <v>633</v>
      </c>
    </row>
    <row r="143" spans="1:15" ht="48" hidden="1" customHeight="1">
      <c r="A143" s="13" t="s">
        <v>634</v>
      </c>
      <c r="B143" s="11" t="s">
        <v>556</v>
      </c>
      <c r="C143" s="11" t="s">
        <v>619</v>
      </c>
      <c r="D143" s="11" t="s">
        <v>635</v>
      </c>
      <c r="E143" s="17" t="s">
        <v>22</v>
      </c>
      <c r="F143" s="13" t="s">
        <v>92</v>
      </c>
      <c r="G143" s="11" t="s">
        <v>559</v>
      </c>
      <c r="H143" s="11" t="s">
        <v>635</v>
      </c>
      <c r="I143" s="11" t="s">
        <v>636</v>
      </c>
      <c r="J143" s="15" t="s">
        <v>107</v>
      </c>
      <c r="K143" s="11" t="s">
        <v>637</v>
      </c>
      <c r="L143" s="11"/>
      <c r="M143" s="13" t="s">
        <v>109</v>
      </c>
      <c r="N143" s="13" t="s">
        <v>110</v>
      </c>
      <c r="O143" s="11" t="s">
        <v>638</v>
      </c>
    </row>
    <row r="144" spans="1:15" ht="48" customHeight="1">
      <c r="A144" s="13" t="s">
        <v>639</v>
      </c>
      <c r="B144" s="11" t="s">
        <v>556</v>
      </c>
      <c r="C144" s="11" t="s">
        <v>619</v>
      </c>
      <c r="D144" s="11" t="s">
        <v>640</v>
      </c>
      <c r="E144" s="17" t="s">
        <v>22</v>
      </c>
      <c r="F144" s="13" t="s">
        <v>92</v>
      </c>
      <c r="G144" s="11" t="s">
        <v>559</v>
      </c>
      <c r="H144" s="11" t="s">
        <v>640</v>
      </c>
      <c r="I144" s="11" t="s">
        <v>641</v>
      </c>
      <c r="J144" s="16" t="s">
        <v>117</v>
      </c>
      <c r="K144" s="11" t="s">
        <v>642</v>
      </c>
      <c r="L144" s="11"/>
      <c r="M144" s="13" t="s">
        <v>109</v>
      </c>
      <c r="N144" s="13" t="s">
        <v>110</v>
      </c>
      <c r="O144" s="11"/>
    </row>
    <row r="145" spans="1:15" ht="48" customHeight="1">
      <c r="A145" s="13" t="s">
        <v>643</v>
      </c>
      <c r="B145" s="11" t="s">
        <v>556</v>
      </c>
      <c r="C145" s="11" t="s">
        <v>619</v>
      </c>
      <c r="D145" s="11" t="s">
        <v>644</v>
      </c>
      <c r="E145" s="17" t="s">
        <v>22</v>
      </c>
      <c r="F145" s="13" t="s">
        <v>92</v>
      </c>
      <c r="G145" s="11" t="s">
        <v>559</v>
      </c>
      <c r="H145" s="11" t="s">
        <v>644</v>
      </c>
      <c r="I145" s="11" t="s">
        <v>645</v>
      </c>
      <c r="J145" s="13" t="s">
        <v>180</v>
      </c>
      <c r="K145" s="11"/>
      <c r="L145" s="11"/>
      <c r="M145" s="13"/>
      <c r="N145" s="13"/>
      <c r="O145" s="11" t="s">
        <v>646</v>
      </c>
    </row>
    <row r="146" spans="1:15" ht="48" customHeight="1">
      <c r="A146" s="13" t="s">
        <v>647</v>
      </c>
      <c r="B146" s="11" t="s">
        <v>556</v>
      </c>
      <c r="C146" s="11" t="s">
        <v>619</v>
      </c>
      <c r="D146" s="11" t="s">
        <v>648</v>
      </c>
      <c r="E146" s="17" t="s">
        <v>22</v>
      </c>
      <c r="F146" s="13" t="s">
        <v>92</v>
      </c>
      <c r="G146" s="11" t="s">
        <v>559</v>
      </c>
      <c r="H146" s="11" t="s">
        <v>648</v>
      </c>
      <c r="I146" s="11" t="s">
        <v>649</v>
      </c>
      <c r="J146" s="13" t="s">
        <v>180</v>
      </c>
      <c r="K146" s="11"/>
      <c r="L146" s="11"/>
      <c r="M146" s="13"/>
      <c r="N146" s="13"/>
      <c r="O146" s="11" t="s">
        <v>650</v>
      </c>
    </row>
    <row r="147" spans="1:15" ht="48" customHeight="1">
      <c r="A147" s="13" t="s">
        <v>651</v>
      </c>
      <c r="B147" s="11" t="s">
        <v>556</v>
      </c>
      <c r="C147" s="11" t="s">
        <v>619</v>
      </c>
      <c r="D147" s="11" t="s">
        <v>652</v>
      </c>
      <c r="E147" s="17" t="s">
        <v>22</v>
      </c>
      <c r="F147" s="13" t="s">
        <v>92</v>
      </c>
      <c r="G147" s="11" t="s">
        <v>559</v>
      </c>
      <c r="H147" s="11" t="s">
        <v>652</v>
      </c>
      <c r="I147" s="11" t="s">
        <v>653</v>
      </c>
      <c r="J147" s="13" t="s">
        <v>180</v>
      </c>
      <c r="K147" s="11"/>
      <c r="L147" s="11"/>
      <c r="M147" s="13"/>
      <c r="N147" s="13"/>
      <c r="O147" s="11" t="s">
        <v>654</v>
      </c>
    </row>
    <row r="148" spans="1:15" ht="48" customHeight="1">
      <c r="A148" s="13" t="s">
        <v>655</v>
      </c>
      <c r="B148" s="11" t="s">
        <v>556</v>
      </c>
      <c r="C148" s="11" t="s">
        <v>619</v>
      </c>
      <c r="D148" s="11" t="s">
        <v>656</v>
      </c>
      <c r="E148" s="17" t="s">
        <v>22</v>
      </c>
      <c r="F148" s="13" t="s">
        <v>92</v>
      </c>
      <c r="G148" s="11" t="s">
        <v>559</v>
      </c>
      <c r="H148" s="11" t="s">
        <v>656</v>
      </c>
      <c r="I148" s="11" t="s">
        <v>657</v>
      </c>
      <c r="J148" s="13" t="s">
        <v>180</v>
      </c>
      <c r="K148" s="11"/>
      <c r="L148" s="11"/>
      <c r="M148" s="13"/>
      <c r="N148" s="13"/>
      <c r="O148" s="11" t="s">
        <v>658</v>
      </c>
    </row>
    <row r="149" spans="1:15" ht="48" customHeight="1">
      <c r="A149" s="13" t="s">
        <v>659</v>
      </c>
      <c r="B149" s="11" t="s">
        <v>556</v>
      </c>
      <c r="C149" s="11" t="s">
        <v>619</v>
      </c>
      <c r="D149" s="11" t="s">
        <v>660</v>
      </c>
      <c r="E149" s="17" t="s">
        <v>22</v>
      </c>
      <c r="F149" s="13" t="s">
        <v>92</v>
      </c>
      <c r="G149" s="11" t="s">
        <v>559</v>
      </c>
      <c r="H149" s="11" t="s">
        <v>660</v>
      </c>
      <c r="I149" s="11" t="s">
        <v>661</v>
      </c>
      <c r="J149" s="13" t="s">
        <v>180</v>
      </c>
      <c r="K149" s="11"/>
      <c r="L149" s="11"/>
      <c r="M149" s="13"/>
      <c r="N149" s="13"/>
      <c r="O149" s="11"/>
    </row>
    <row r="150" spans="1:15" ht="48" customHeight="1">
      <c r="A150" s="13" t="s">
        <v>662</v>
      </c>
      <c r="B150" s="11" t="s">
        <v>556</v>
      </c>
      <c r="C150" s="11" t="s">
        <v>619</v>
      </c>
      <c r="D150" s="11" t="s">
        <v>663</v>
      </c>
      <c r="E150" s="17" t="s">
        <v>22</v>
      </c>
      <c r="F150" s="13" t="s">
        <v>92</v>
      </c>
      <c r="G150" s="11" t="s">
        <v>559</v>
      </c>
      <c r="H150" s="11" t="s">
        <v>663</v>
      </c>
      <c r="I150" s="11" t="s">
        <v>664</v>
      </c>
      <c r="J150" s="13" t="s">
        <v>180</v>
      </c>
      <c r="K150" s="11"/>
      <c r="L150" s="11"/>
      <c r="M150" s="13"/>
      <c r="N150" s="13"/>
      <c r="O150" s="11"/>
    </row>
    <row r="151" spans="1:15" ht="48" customHeight="1">
      <c r="A151" s="13" t="s">
        <v>665</v>
      </c>
      <c r="B151" s="11" t="s">
        <v>556</v>
      </c>
      <c r="C151" s="11" t="s">
        <v>619</v>
      </c>
      <c r="D151" s="11" t="s">
        <v>666</v>
      </c>
      <c r="E151" s="17" t="s">
        <v>22</v>
      </c>
      <c r="F151" s="13" t="s">
        <v>92</v>
      </c>
      <c r="G151" s="11" t="s">
        <v>559</v>
      </c>
      <c r="H151" s="11" t="s">
        <v>666</v>
      </c>
      <c r="I151" s="11" t="s">
        <v>667</v>
      </c>
      <c r="J151" s="13" t="s">
        <v>180</v>
      </c>
      <c r="K151" s="11"/>
      <c r="L151" s="11"/>
      <c r="M151" s="13"/>
      <c r="N151" s="13"/>
      <c r="O151" s="11"/>
    </row>
    <row r="152" spans="1:15" ht="48" customHeight="1">
      <c r="A152" s="13" t="s">
        <v>668</v>
      </c>
      <c r="B152" s="11" t="s">
        <v>556</v>
      </c>
      <c r="C152" s="11" t="s">
        <v>619</v>
      </c>
      <c r="D152" s="11" t="s">
        <v>669</v>
      </c>
      <c r="E152" s="17" t="s">
        <v>22</v>
      </c>
      <c r="F152" s="13" t="s">
        <v>92</v>
      </c>
      <c r="G152" s="11" t="s">
        <v>559</v>
      </c>
      <c r="H152" s="11" t="s">
        <v>669</v>
      </c>
      <c r="I152" s="11" t="s">
        <v>670</v>
      </c>
      <c r="J152" s="13" t="s">
        <v>180</v>
      </c>
      <c r="K152" s="11"/>
      <c r="L152" s="11"/>
      <c r="M152" s="13"/>
      <c r="N152" s="13"/>
      <c r="O152" s="11"/>
    </row>
    <row r="153" spans="1:15" ht="48" hidden="1" customHeight="1">
      <c r="A153" s="13" t="s">
        <v>671</v>
      </c>
      <c r="B153" s="11" t="s">
        <v>556</v>
      </c>
      <c r="C153" s="11" t="s">
        <v>672</v>
      </c>
      <c r="D153" s="11" t="s">
        <v>673</v>
      </c>
      <c r="E153" s="14" t="s">
        <v>24</v>
      </c>
      <c r="F153" s="13" t="s">
        <v>92</v>
      </c>
      <c r="G153" s="11" t="s">
        <v>559</v>
      </c>
      <c r="H153" s="11" t="s">
        <v>673</v>
      </c>
      <c r="I153" s="11" t="s">
        <v>674</v>
      </c>
      <c r="J153" s="15" t="s">
        <v>107</v>
      </c>
      <c r="K153" s="11" t="s">
        <v>1156</v>
      </c>
      <c r="L153" s="11"/>
      <c r="M153" s="13" t="s">
        <v>1088</v>
      </c>
      <c r="N153" s="13" t="s">
        <v>1084</v>
      </c>
      <c r="O153" s="11" t="s">
        <v>1089</v>
      </c>
    </row>
    <row r="154" spans="1:15" ht="48" hidden="1" customHeight="1">
      <c r="A154" s="13" t="s">
        <v>675</v>
      </c>
      <c r="B154" s="11" t="s">
        <v>556</v>
      </c>
      <c r="C154" s="11" t="s">
        <v>672</v>
      </c>
      <c r="D154" s="11" t="s">
        <v>676</v>
      </c>
      <c r="E154" s="14" t="s">
        <v>24</v>
      </c>
      <c r="F154" s="13" t="s">
        <v>92</v>
      </c>
      <c r="G154" s="11" t="s">
        <v>559</v>
      </c>
      <c r="H154" s="11" t="s">
        <v>676</v>
      </c>
      <c r="I154" s="11" t="s">
        <v>677</v>
      </c>
      <c r="J154" s="15" t="s">
        <v>107</v>
      </c>
      <c r="K154" s="11" t="s">
        <v>678</v>
      </c>
      <c r="L154" s="11"/>
      <c r="M154" s="13" t="s">
        <v>109</v>
      </c>
      <c r="N154" s="13" t="s">
        <v>110</v>
      </c>
      <c r="O154" s="11"/>
    </row>
    <row r="155" spans="1:15" ht="48" hidden="1" customHeight="1">
      <c r="A155" s="13" t="s">
        <v>679</v>
      </c>
      <c r="B155" s="11" t="s">
        <v>556</v>
      </c>
      <c r="C155" s="11" t="s">
        <v>672</v>
      </c>
      <c r="D155" s="11" t="s">
        <v>680</v>
      </c>
      <c r="E155" s="14" t="s">
        <v>24</v>
      </c>
      <c r="F155" s="13" t="s">
        <v>92</v>
      </c>
      <c r="G155" s="11" t="s">
        <v>559</v>
      </c>
      <c r="H155" s="11" t="s">
        <v>680</v>
      </c>
      <c r="I155" s="11" t="s">
        <v>681</v>
      </c>
      <c r="J155" s="15" t="s">
        <v>107</v>
      </c>
      <c r="K155" s="11" t="s">
        <v>682</v>
      </c>
      <c r="L155" s="11"/>
      <c r="M155" s="13" t="s">
        <v>109</v>
      </c>
      <c r="N155" s="13" t="s">
        <v>110</v>
      </c>
      <c r="O155" s="11"/>
    </row>
    <row r="156" spans="1:15" ht="48" hidden="1" customHeight="1">
      <c r="A156" s="13" t="s">
        <v>683</v>
      </c>
      <c r="B156" s="11" t="s">
        <v>556</v>
      </c>
      <c r="C156" s="11" t="s">
        <v>672</v>
      </c>
      <c r="D156" s="11" t="s">
        <v>684</v>
      </c>
      <c r="E156" s="14" t="s">
        <v>24</v>
      </c>
      <c r="F156" s="13" t="s">
        <v>92</v>
      </c>
      <c r="G156" s="11" t="s">
        <v>559</v>
      </c>
      <c r="H156" s="11" t="s">
        <v>684</v>
      </c>
      <c r="I156" s="11" t="s">
        <v>685</v>
      </c>
      <c r="J156" s="15" t="s">
        <v>107</v>
      </c>
      <c r="K156" s="11" t="s">
        <v>686</v>
      </c>
      <c r="L156" s="11"/>
      <c r="M156" s="13" t="s">
        <v>109</v>
      </c>
      <c r="N156" s="13" t="s">
        <v>110</v>
      </c>
      <c r="O156" s="11" t="s">
        <v>687</v>
      </c>
    </row>
    <row r="157" spans="1:15" ht="48" hidden="1" customHeight="1">
      <c r="A157" s="13" t="s">
        <v>688</v>
      </c>
      <c r="B157" s="11" t="s">
        <v>556</v>
      </c>
      <c r="C157" s="11" t="s">
        <v>672</v>
      </c>
      <c r="D157" s="11" t="s">
        <v>689</v>
      </c>
      <c r="E157" s="14" t="s">
        <v>24</v>
      </c>
      <c r="F157" s="13" t="s">
        <v>92</v>
      </c>
      <c r="G157" s="11" t="s">
        <v>559</v>
      </c>
      <c r="H157" s="11" t="s">
        <v>689</v>
      </c>
      <c r="I157" s="11" t="s">
        <v>690</v>
      </c>
      <c r="J157" s="15" t="s">
        <v>107</v>
      </c>
      <c r="K157" s="11" t="s">
        <v>691</v>
      </c>
      <c r="L157" s="11"/>
      <c r="M157" s="13" t="s">
        <v>109</v>
      </c>
      <c r="N157" s="13" t="s">
        <v>110</v>
      </c>
      <c r="O157" s="11"/>
    </row>
    <row r="158" spans="1:15" ht="48" hidden="1" customHeight="1">
      <c r="A158" s="13" t="s">
        <v>692</v>
      </c>
      <c r="B158" s="11" t="s">
        <v>556</v>
      </c>
      <c r="C158" s="11" t="s">
        <v>672</v>
      </c>
      <c r="D158" s="11" t="s">
        <v>693</v>
      </c>
      <c r="E158" s="14" t="s">
        <v>24</v>
      </c>
      <c r="F158" s="13" t="s">
        <v>92</v>
      </c>
      <c r="G158" s="11" t="s">
        <v>559</v>
      </c>
      <c r="H158" s="11" t="s">
        <v>693</v>
      </c>
      <c r="I158" s="11" t="s">
        <v>694</v>
      </c>
      <c r="J158" s="15" t="s">
        <v>107</v>
      </c>
      <c r="K158" s="11" t="s">
        <v>695</v>
      </c>
      <c r="L158" s="11"/>
      <c r="M158" s="13" t="s">
        <v>109</v>
      </c>
      <c r="N158" s="13" t="s">
        <v>110</v>
      </c>
      <c r="O158" s="11" t="s">
        <v>696</v>
      </c>
    </row>
    <row r="159" spans="1:15" ht="48" hidden="1" customHeight="1">
      <c r="A159" s="13" t="s">
        <v>697</v>
      </c>
      <c r="B159" s="11" t="s">
        <v>556</v>
      </c>
      <c r="C159" s="11" t="s">
        <v>698</v>
      </c>
      <c r="D159" s="11" t="s">
        <v>699</v>
      </c>
      <c r="E159" s="17" t="s">
        <v>22</v>
      </c>
      <c r="F159" s="13" t="s">
        <v>92</v>
      </c>
      <c r="G159" s="11" t="s">
        <v>559</v>
      </c>
      <c r="H159" s="11" t="s">
        <v>699</v>
      </c>
      <c r="I159" s="11" t="s">
        <v>700</v>
      </c>
      <c r="J159" s="15" t="s">
        <v>107</v>
      </c>
      <c r="K159" s="11" t="s">
        <v>1157</v>
      </c>
      <c r="L159" s="11"/>
      <c r="M159" s="13" t="s">
        <v>1088</v>
      </c>
      <c r="N159" s="13" t="s">
        <v>1084</v>
      </c>
      <c r="O159" s="11" t="s">
        <v>1089</v>
      </c>
    </row>
    <row r="160" spans="1:15" ht="48" customHeight="1">
      <c r="A160" s="13" t="s">
        <v>701</v>
      </c>
      <c r="B160" s="11" t="s">
        <v>556</v>
      </c>
      <c r="C160" s="11" t="s">
        <v>698</v>
      </c>
      <c r="D160" s="11" t="s">
        <v>702</v>
      </c>
      <c r="E160" s="17" t="s">
        <v>22</v>
      </c>
      <c r="F160" s="13" t="s">
        <v>92</v>
      </c>
      <c r="G160" s="11" t="s">
        <v>559</v>
      </c>
      <c r="H160" s="11" t="s">
        <v>702</v>
      </c>
      <c r="I160" s="11" t="s">
        <v>703</v>
      </c>
      <c r="J160" s="18" t="s">
        <v>630</v>
      </c>
      <c r="K160" s="11" t="s">
        <v>704</v>
      </c>
      <c r="L160" s="11" t="s">
        <v>705</v>
      </c>
      <c r="M160" s="13" t="s">
        <v>109</v>
      </c>
      <c r="N160" s="13" t="s">
        <v>110</v>
      </c>
      <c r="O160" s="11" t="s">
        <v>706</v>
      </c>
    </row>
    <row r="161" spans="1:15" ht="48" customHeight="1">
      <c r="A161" s="13" t="s">
        <v>707</v>
      </c>
      <c r="B161" s="11" t="s">
        <v>556</v>
      </c>
      <c r="C161" s="11" t="s">
        <v>698</v>
      </c>
      <c r="D161" s="11" t="s">
        <v>708</v>
      </c>
      <c r="E161" s="17" t="s">
        <v>22</v>
      </c>
      <c r="F161" s="13" t="s">
        <v>92</v>
      </c>
      <c r="G161" s="11" t="s">
        <v>559</v>
      </c>
      <c r="H161" s="11" t="s">
        <v>708</v>
      </c>
      <c r="I161" s="11" t="s">
        <v>709</v>
      </c>
      <c r="J161" s="16" t="s">
        <v>117</v>
      </c>
      <c r="K161" s="11" t="s">
        <v>710</v>
      </c>
      <c r="L161" s="11"/>
      <c r="M161" s="13" t="s">
        <v>109</v>
      </c>
      <c r="N161" s="13" t="s">
        <v>110</v>
      </c>
      <c r="O161" s="11" t="s">
        <v>711</v>
      </c>
    </row>
    <row r="162" spans="1:15" ht="48" hidden="1" customHeight="1">
      <c r="A162" s="13" t="s">
        <v>712</v>
      </c>
      <c r="B162" s="11" t="s">
        <v>556</v>
      </c>
      <c r="C162" s="11" t="s">
        <v>698</v>
      </c>
      <c r="D162" s="11" t="s">
        <v>713</v>
      </c>
      <c r="E162" s="17" t="s">
        <v>22</v>
      </c>
      <c r="F162" s="13" t="s">
        <v>92</v>
      </c>
      <c r="G162" s="11" t="s">
        <v>559</v>
      </c>
      <c r="H162" s="11" t="s">
        <v>713</v>
      </c>
      <c r="I162" s="11" t="s">
        <v>714</v>
      </c>
      <c r="J162" s="15" t="s">
        <v>107</v>
      </c>
      <c r="K162" s="11" t="s">
        <v>715</v>
      </c>
      <c r="L162" s="11"/>
      <c r="M162" s="13" t="s">
        <v>109</v>
      </c>
      <c r="N162" s="13" t="s">
        <v>110</v>
      </c>
      <c r="O162" s="11"/>
    </row>
    <row r="163" spans="1:15" ht="48" hidden="1" customHeight="1">
      <c r="A163" s="13" t="s">
        <v>716</v>
      </c>
      <c r="B163" s="11" t="s">
        <v>556</v>
      </c>
      <c r="C163" s="11" t="s">
        <v>698</v>
      </c>
      <c r="D163" s="11" t="s">
        <v>717</v>
      </c>
      <c r="E163" s="17" t="s">
        <v>22</v>
      </c>
      <c r="F163" s="13" t="s">
        <v>92</v>
      </c>
      <c r="G163" s="11" t="s">
        <v>559</v>
      </c>
      <c r="H163" s="11" t="s">
        <v>717</v>
      </c>
      <c r="I163" s="11" t="s">
        <v>718</v>
      </c>
      <c r="J163" s="15" t="s">
        <v>107</v>
      </c>
      <c r="K163" s="11" t="s">
        <v>719</v>
      </c>
      <c r="L163" s="11"/>
      <c r="M163" s="13" t="s">
        <v>109</v>
      </c>
      <c r="N163" s="13" t="s">
        <v>110</v>
      </c>
      <c r="O163" s="11"/>
    </row>
    <row r="164" spans="1:15" ht="48" hidden="1" customHeight="1">
      <c r="A164" s="13" t="s">
        <v>720</v>
      </c>
      <c r="B164" s="11" t="s">
        <v>556</v>
      </c>
      <c r="C164" s="11" t="s">
        <v>698</v>
      </c>
      <c r="D164" s="11" t="s">
        <v>721</v>
      </c>
      <c r="E164" s="17" t="s">
        <v>22</v>
      </c>
      <c r="F164" s="13" t="s">
        <v>92</v>
      </c>
      <c r="G164" s="11" t="s">
        <v>559</v>
      </c>
      <c r="H164" s="11" t="s">
        <v>721</v>
      </c>
      <c r="I164" s="11" t="s">
        <v>722</v>
      </c>
      <c r="J164" s="15" t="s">
        <v>107</v>
      </c>
      <c r="K164" s="11" t="s">
        <v>723</v>
      </c>
      <c r="L164" s="11"/>
      <c r="M164" s="13" t="s">
        <v>109</v>
      </c>
      <c r="N164" s="13" t="s">
        <v>110</v>
      </c>
      <c r="O164" s="11"/>
    </row>
    <row r="165" spans="1:15" ht="48" hidden="1" customHeight="1">
      <c r="A165" s="13" t="s">
        <v>724</v>
      </c>
      <c r="B165" s="11" t="s">
        <v>556</v>
      </c>
      <c r="C165" s="11" t="s">
        <v>698</v>
      </c>
      <c r="D165" s="11" t="s">
        <v>725</v>
      </c>
      <c r="E165" s="17" t="s">
        <v>22</v>
      </c>
      <c r="F165" s="13" t="s">
        <v>92</v>
      </c>
      <c r="G165" s="11" t="s">
        <v>559</v>
      </c>
      <c r="H165" s="11" t="s">
        <v>725</v>
      </c>
      <c r="I165" s="11" t="s">
        <v>726</v>
      </c>
      <c r="J165" s="15" t="s">
        <v>107</v>
      </c>
      <c r="K165" s="11" t="s">
        <v>1158</v>
      </c>
      <c r="L165" s="11"/>
      <c r="M165" s="13" t="s">
        <v>1088</v>
      </c>
      <c r="N165" s="13" t="s">
        <v>1084</v>
      </c>
      <c r="O165" s="11" t="s">
        <v>1089</v>
      </c>
    </row>
    <row r="166" spans="1:15" ht="48" customHeight="1">
      <c r="A166" s="13" t="s">
        <v>727</v>
      </c>
      <c r="B166" s="11" t="s">
        <v>556</v>
      </c>
      <c r="C166" s="11" t="s">
        <v>698</v>
      </c>
      <c r="D166" s="11" t="s">
        <v>728</v>
      </c>
      <c r="E166" s="17" t="s">
        <v>22</v>
      </c>
      <c r="F166" s="13" t="s">
        <v>92</v>
      </c>
      <c r="G166" s="11" t="s">
        <v>559</v>
      </c>
      <c r="H166" s="11" t="s">
        <v>728</v>
      </c>
      <c r="I166" s="11" t="s">
        <v>729</v>
      </c>
      <c r="J166" s="16" t="s">
        <v>117</v>
      </c>
      <c r="K166" s="11" t="s">
        <v>730</v>
      </c>
      <c r="L166" s="11"/>
      <c r="M166" s="13" t="s">
        <v>109</v>
      </c>
      <c r="N166" s="13" t="s">
        <v>110</v>
      </c>
      <c r="O166" s="11"/>
    </row>
    <row r="167" spans="1:15" ht="48" hidden="1" customHeight="1">
      <c r="A167" s="13" t="s">
        <v>731</v>
      </c>
      <c r="B167" s="11" t="s">
        <v>556</v>
      </c>
      <c r="C167" s="11" t="s">
        <v>698</v>
      </c>
      <c r="D167" s="11" t="s">
        <v>732</v>
      </c>
      <c r="E167" s="17" t="s">
        <v>22</v>
      </c>
      <c r="F167" s="13" t="s">
        <v>92</v>
      </c>
      <c r="G167" s="11" t="s">
        <v>559</v>
      </c>
      <c r="H167" s="11" t="s">
        <v>732</v>
      </c>
      <c r="I167" s="11" t="s">
        <v>733</v>
      </c>
      <c r="J167" s="15" t="s">
        <v>107</v>
      </c>
      <c r="K167" s="11" t="s">
        <v>734</v>
      </c>
      <c r="L167" s="11"/>
      <c r="M167" s="13" t="s">
        <v>109</v>
      </c>
      <c r="N167" s="13" t="s">
        <v>110</v>
      </c>
      <c r="O167" s="11"/>
    </row>
    <row r="168" spans="1:15" ht="48" hidden="1" customHeight="1">
      <c r="A168" s="13" t="s">
        <v>735</v>
      </c>
      <c r="B168" s="11" t="s">
        <v>556</v>
      </c>
      <c r="C168" s="11" t="s">
        <v>698</v>
      </c>
      <c r="D168" s="11" t="s">
        <v>736</v>
      </c>
      <c r="E168" s="17" t="s">
        <v>22</v>
      </c>
      <c r="F168" s="13" t="s">
        <v>92</v>
      </c>
      <c r="G168" s="11" t="s">
        <v>559</v>
      </c>
      <c r="H168" s="11" t="s">
        <v>736</v>
      </c>
      <c r="I168" s="11" t="s">
        <v>737</v>
      </c>
      <c r="J168" s="15" t="s">
        <v>107</v>
      </c>
      <c r="K168" s="11" t="s">
        <v>738</v>
      </c>
      <c r="L168" s="11"/>
      <c r="M168" s="13" t="s">
        <v>109</v>
      </c>
      <c r="N168" s="13" t="s">
        <v>110</v>
      </c>
      <c r="O168" s="11"/>
    </row>
    <row r="169" spans="1:15" ht="48" hidden="1" customHeight="1">
      <c r="A169" s="13" t="s">
        <v>739</v>
      </c>
      <c r="B169" s="11" t="s">
        <v>556</v>
      </c>
      <c r="C169" s="11" t="s">
        <v>698</v>
      </c>
      <c r="D169" s="11" t="s">
        <v>740</v>
      </c>
      <c r="E169" s="17" t="s">
        <v>22</v>
      </c>
      <c r="F169" s="13" t="s">
        <v>92</v>
      </c>
      <c r="G169" s="11" t="s">
        <v>559</v>
      </c>
      <c r="H169" s="11" t="s">
        <v>740</v>
      </c>
      <c r="I169" s="11" t="s">
        <v>741</v>
      </c>
      <c r="J169" s="15" t="s">
        <v>107</v>
      </c>
      <c r="K169" s="11" t="s">
        <v>742</v>
      </c>
      <c r="L169" s="11"/>
      <c r="M169" s="13" t="s">
        <v>109</v>
      </c>
      <c r="N169" s="13" t="s">
        <v>110</v>
      </c>
      <c r="O169" s="11"/>
    </row>
    <row r="170" spans="1:15" ht="48" hidden="1" customHeight="1">
      <c r="A170" s="13" t="s">
        <v>743</v>
      </c>
      <c r="B170" s="11" t="s">
        <v>556</v>
      </c>
      <c r="C170" s="11" t="s">
        <v>698</v>
      </c>
      <c r="D170" s="11" t="s">
        <v>744</v>
      </c>
      <c r="E170" s="17" t="s">
        <v>22</v>
      </c>
      <c r="F170" s="13" t="s">
        <v>92</v>
      </c>
      <c r="G170" s="11" t="s">
        <v>559</v>
      </c>
      <c r="H170" s="11" t="s">
        <v>744</v>
      </c>
      <c r="I170" s="11" t="s">
        <v>745</v>
      </c>
      <c r="J170" s="15" t="s">
        <v>107</v>
      </c>
      <c r="K170" s="11" t="s">
        <v>746</v>
      </c>
      <c r="L170" s="11"/>
      <c r="M170" s="13" t="s">
        <v>109</v>
      </c>
      <c r="N170" s="13" t="s">
        <v>110</v>
      </c>
      <c r="O170" s="11" t="s">
        <v>747</v>
      </c>
    </row>
    <row r="171" spans="1:15" ht="48" customHeight="1">
      <c r="A171" s="13" t="s">
        <v>748</v>
      </c>
      <c r="B171" s="11" t="s">
        <v>556</v>
      </c>
      <c r="C171" s="11" t="s">
        <v>698</v>
      </c>
      <c r="D171" s="11" t="s">
        <v>749</v>
      </c>
      <c r="E171" s="17" t="s">
        <v>22</v>
      </c>
      <c r="F171" s="13" t="s">
        <v>92</v>
      </c>
      <c r="G171" s="11" t="s">
        <v>559</v>
      </c>
      <c r="H171" s="11" t="s">
        <v>749</v>
      </c>
      <c r="I171" s="11" t="s">
        <v>750</v>
      </c>
      <c r="J171" s="16" t="s">
        <v>117</v>
      </c>
      <c r="K171" s="11" t="s">
        <v>751</v>
      </c>
      <c r="L171" s="11"/>
      <c r="M171" s="13" t="s">
        <v>109</v>
      </c>
      <c r="N171" s="13" t="s">
        <v>110</v>
      </c>
      <c r="O171" s="11"/>
    </row>
    <row r="172" spans="1:15" ht="48" hidden="1" customHeight="1">
      <c r="A172" s="13" t="s">
        <v>752</v>
      </c>
      <c r="B172" s="11" t="s">
        <v>556</v>
      </c>
      <c r="C172" s="11" t="s">
        <v>698</v>
      </c>
      <c r="D172" s="11" t="s">
        <v>753</v>
      </c>
      <c r="E172" s="17" t="s">
        <v>22</v>
      </c>
      <c r="F172" s="13" t="s">
        <v>92</v>
      </c>
      <c r="G172" s="11" t="s">
        <v>559</v>
      </c>
      <c r="H172" s="11" t="s">
        <v>753</v>
      </c>
      <c r="I172" s="11" t="s">
        <v>754</v>
      </c>
      <c r="J172" s="15" t="s">
        <v>107</v>
      </c>
      <c r="K172" s="11" t="s">
        <v>755</v>
      </c>
      <c r="L172" s="11"/>
      <c r="M172" s="13" t="s">
        <v>109</v>
      </c>
      <c r="N172" s="13" t="s">
        <v>110</v>
      </c>
      <c r="O172" s="11" t="s">
        <v>756</v>
      </c>
    </row>
    <row r="173" spans="1:15" ht="48" hidden="1" customHeight="1">
      <c r="A173" s="13" t="s">
        <v>757</v>
      </c>
      <c r="B173" s="11" t="s">
        <v>556</v>
      </c>
      <c r="C173" s="11" t="s">
        <v>698</v>
      </c>
      <c r="D173" s="11" t="s">
        <v>758</v>
      </c>
      <c r="E173" s="17" t="s">
        <v>22</v>
      </c>
      <c r="F173" s="13" t="s">
        <v>92</v>
      </c>
      <c r="G173" s="11" t="s">
        <v>559</v>
      </c>
      <c r="H173" s="11" t="s">
        <v>758</v>
      </c>
      <c r="I173" s="11" t="s">
        <v>759</v>
      </c>
      <c r="J173" s="15" t="s">
        <v>107</v>
      </c>
      <c r="K173" s="11" t="s">
        <v>760</v>
      </c>
      <c r="L173" s="11"/>
      <c r="M173" s="13" t="s">
        <v>109</v>
      </c>
      <c r="N173" s="13" t="s">
        <v>110</v>
      </c>
      <c r="O173" s="11"/>
    </row>
    <row r="174" spans="1:15" ht="48" hidden="1" customHeight="1">
      <c r="A174" s="13" t="s">
        <v>761</v>
      </c>
      <c r="B174" s="11" t="s">
        <v>556</v>
      </c>
      <c r="C174" s="11" t="s">
        <v>762</v>
      </c>
      <c r="D174" s="11" t="s">
        <v>763</v>
      </c>
      <c r="E174" s="14" t="s">
        <v>24</v>
      </c>
      <c r="F174" s="13" t="s">
        <v>92</v>
      </c>
      <c r="G174" s="11" t="s">
        <v>559</v>
      </c>
      <c r="H174" s="11" t="s">
        <v>763</v>
      </c>
      <c r="I174" s="11" t="s">
        <v>764</v>
      </c>
      <c r="J174" s="15" t="s">
        <v>107</v>
      </c>
      <c r="K174" s="11" t="s">
        <v>765</v>
      </c>
      <c r="L174" s="11"/>
      <c r="M174" s="13" t="s">
        <v>109</v>
      </c>
      <c r="N174" s="13" t="s">
        <v>110</v>
      </c>
      <c r="O174" s="11"/>
    </row>
    <row r="175" spans="1:15" ht="48" hidden="1" customHeight="1">
      <c r="A175" s="13" t="s">
        <v>766</v>
      </c>
      <c r="B175" s="11" t="s">
        <v>556</v>
      </c>
      <c r="C175" s="11" t="s">
        <v>762</v>
      </c>
      <c r="D175" s="11" t="s">
        <v>767</v>
      </c>
      <c r="E175" s="14" t="s">
        <v>24</v>
      </c>
      <c r="F175" s="13" t="s">
        <v>92</v>
      </c>
      <c r="G175" s="11" t="s">
        <v>559</v>
      </c>
      <c r="H175" s="11" t="s">
        <v>767</v>
      </c>
      <c r="I175" s="11" t="s">
        <v>768</v>
      </c>
      <c r="J175" s="15" t="s">
        <v>107</v>
      </c>
      <c r="K175" s="11" t="s">
        <v>769</v>
      </c>
      <c r="L175" s="11"/>
      <c r="M175" s="13" t="s">
        <v>109</v>
      </c>
      <c r="N175" s="13" t="s">
        <v>110</v>
      </c>
      <c r="O175" s="11"/>
    </row>
    <row r="176" spans="1:15" ht="48" hidden="1" customHeight="1">
      <c r="A176" s="13" t="s">
        <v>770</v>
      </c>
      <c r="B176" s="11" t="s">
        <v>556</v>
      </c>
      <c r="C176" s="11" t="s">
        <v>762</v>
      </c>
      <c r="D176" s="11" t="s">
        <v>771</v>
      </c>
      <c r="E176" s="14" t="s">
        <v>24</v>
      </c>
      <c r="F176" s="13" t="s">
        <v>92</v>
      </c>
      <c r="G176" s="11" t="s">
        <v>559</v>
      </c>
      <c r="H176" s="11" t="s">
        <v>771</v>
      </c>
      <c r="I176" s="11" t="s">
        <v>772</v>
      </c>
      <c r="J176" s="15" t="s">
        <v>107</v>
      </c>
      <c r="K176" s="11" t="s">
        <v>773</v>
      </c>
      <c r="L176" s="11"/>
      <c r="M176" s="13" t="s">
        <v>109</v>
      </c>
      <c r="N176" s="13" t="s">
        <v>110</v>
      </c>
      <c r="O176" s="11"/>
    </row>
    <row r="177" spans="1:15" ht="48" hidden="1" customHeight="1">
      <c r="A177" s="13" t="s">
        <v>774</v>
      </c>
      <c r="B177" s="11" t="s">
        <v>556</v>
      </c>
      <c r="C177" s="11" t="s">
        <v>762</v>
      </c>
      <c r="D177" s="11" t="s">
        <v>775</v>
      </c>
      <c r="E177" s="14" t="s">
        <v>24</v>
      </c>
      <c r="F177" s="13" t="s">
        <v>92</v>
      </c>
      <c r="G177" s="11" t="s">
        <v>559</v>
      </c>
      <c r="H177" s="11" t="s">
        <v>775</v>
      </c>
      <c r="I177" s="11" t="s">
        <v>776</v>
      </c>
      <c r="J177" s="15" t="s">
        <v>107</v>
      </c>
      <c r="K177" s="11" t="s">
        <v>777</v>
      </c>
      <c r="L177" s="11"/>
      <c r="M177" s="13" t="s">
        <v>109</v>
      </c>
      <c r="N177" s="13" t="s">
        <v>110</v>
      </c>
      <c r="O177" s="11"/>
    </row>
    <row r="178" spans="1:15" ht="48" customHeight="1">
      <c r="A178" s="13" t="s">
        <v>778</v>
      </c>
      <c r="B178" s="11" t="s">
        <v>556</v>
      </c>
      <c r="C178" s="11" t="s">
        <v>762</v>
      </c>
      <c r="D178" s="11" t="s">
        <v>779</v>
      </c>
      <c r="E178" s="14" t="s">
        <v>24</v>
      </c>
      <c r="F178" s="13" t="s">
        <v>92</v>
      </c>
      <c r="G178" s="11" t="s">
        <v>559</v>
      </c>
      <c r="H178" s="11" t="s">
        <v>779</v>
      </c>
      <c r="I178" s="11" t="s">
        <v>780</v>
      </c>
      <c r="J178" s="13" t="s">
        <v>180</v>
      </c>
      <c r="K178" s="11"/>
      <c r="L178" s="11"/>
      <c r="M178" s="13"/>
      <c r="N178" s="13"/>
      <c r="O178" s="11" t="s">
        <v>781</v>
      </c>
    </row>
    <row r="179" spans="1:15" ht="48" customHeight="1">
      <c r="A179" s="13" t="s">
        <v>782</v>
      </c>
      <c r="B179" s="11" t="s">
        <v>556</v>
      </c>
      <c r="C179" s="11" t="s">
        <v>762</v>
      </c>
      <c r="D179" s="11" t="s">
        <v>783</v>
      </c>
      <c r="E179" s="14" t="s">
        <v>24</v>
      </c>
      <c r="F179" s="13" t="s">
        <v>92</v>
      </c>
      <c r="G179" s="11" t="s">
        <v>559</v>
      </c>
      <c r="H179" s="11" t="s">
        <v>783</v>
      </c>
      <c r="I179" s="11" t="s">
        <v>784</v>
      </c>
      <c r="J179" s="16" t="s">
        <v>117</v>
      </c>
      <c r="K179" s="11" t="s">
        <v>785</v>
      </c>
      <c r="L179" s="11"/>
      <c r="M179" s="13" t="s">
        <v>109</v>
      </c>
      <c r="N179" s="13" t="s">
        <v>110</v>
      </c>
      <c r="O179" s="11" t="s">
        <v>786</v>
      </c>
    </row>
    <row r="180" spans="1:15" ht="48" hidden="1" customHeight="1">
      <c r="A180" s="13" t="s">
        <v>787</v>
      </c>
      <c r="B180" s="11" t="s">
        <v>556</v>
      </c>
      <c r="C180" s="11" t="s">
        <v>762</v>
      </c>
      <c r="D180" s="11" t="s">
        <v>788</v>
      </c>
      <c r="E180" s="14" t="s">
        <v>24</v>
      </c>
      <c r="F180" s="13" t="s">
        <v>92</v>
      </c>
      <c r="G180" s="11" t="s">
        <v>559</v>
      </c>
      <c r="H180" s="11" t="s">
        <v>788</v>
      </c>
      <c r="I180" s="11" t="s">
        <v>789</v>
      </c>
      <c r="J180" s="15" t="s">
        <v>107</v>
      </c>
      <c r="K180" s="11" t="s">
        <v>790</v>
      </c>
      <c r="L180" s="11"/>
      <c r="M180" s="13" t="s">
        <v>109</v>
      </c>
      <c r="N180" s="13" t="s">
        <v>110</v>
      </c>
      <c r="O180" s="11"/>
    </row>
    <row r="181" spans="1:15" ht="48" hidden="1" customHeight="1">
      <c r="A181" s="13" t="s">
        <v>791</v>
      </c>
      <c r="B181" s="11" t="s">
        <v>556</v>
      </c>
      <c r="C181" s="11" t="s">
        <v>762</v>
      </c>
      <c r="D181" s="11" t="s">
        <v>736</v>
      </c>
      <c r="E181" s="14" t="s">
        <v>24</v>
      </c>
      <c r="F181" s="13" t="s">
        <v>92</v>
      </c>
      <c r="G181" s="11" t="s">
        <v>559</v>
      </c>
      <c r="H181" s="11" t="s">
        <v>736</v>
      </c>
      <c r="I181" s="11" t="s">
        <v>792</v>
      </c>
      <c r="J181" s="15" t="s">
        <v>107</v>
      </c>
      <c r="K181" s="11" t="s">
        <v>793</v>
      </c>
      <c r="L181" s="11"/>
      <c r="M181" s="13" t="s">
        <v>109</v>
      </c>
      <c r="N181" s="13" t="s">
        <v>110</v>
      </c>
      <c r="O181" s="11" t="s">
        <v>794</v>
      </c>
    </row>
    <row r="182" spans="1:15" ht="48" hidden="1" customHeight="1">
      <c r="A182" s="13" t="s">
        <v>795</v>
      </c>
      <c r="B182" s="11" t="s">
        <v>556</v>
      </c>
      <c r="C182" s="11" t="s">
        <v>762</v>
      </c>
      <c r="D182" s="11" t="s">
        <v>796</v>
      </c>
      <c r="E182" s="14" t="s">
        <v>24</v>
      </c>
      <c r="F182" s="13" t="s">
        <v>92</v>
      </c>
      <c r="G182" s="11" t="s">
        <v>559</v>
      </c>
      <c r="H182" s="11" t="s">
        <v>796</v>
      </c>
      <c r="I182" s="11" t="s">
        <v>797</v>
      </c>
      <c r="J182" s="15" t="s">
        <v>107</v>
      </c>
      <c r="K182" s="11" t="s">
        <v>798</v>
      </c>
      <c r="L182" s="11"/>
      <c r="M182" s="13" t="s">
        <v>109</v>
      </c>
      <c r="N182" s="13" t="s">
        <v>110</v>
      </c>
      <c r="O182" s="11"/>
    </row>
    <row r="183" spans="1:15" ht="48" hidden="1" customHeight="1">
      <c r="A183" s="13" t="s">
        <v>799</v>
      </c>
      <c r="B183" s="11" t="s">
        <v>556</v>
      </c>
      <c r="C183" s="11" t="s">
        <v>762</v>
      </c>
      <c r="D183" s="11" t="s">
        <v>800</v>
      </c>
      <c r="E183" s="14" t="s">
        <v>24</v>
      </c>
      <c r="F183" s="13" t="s">
        <v>92</v>
      </c>
      <c r="G183" s="11" t="s">
        <v>559</v>
      </c>
      <c r="H183" s="11" t="s">
        <v>800</v>
      </c>
      <c r="I183" s="11" t="s">
        <v>801</v>
      </c>
      <c r="J183" s="15" t="s">
        <v>107</v>
      </c>
      <c r="K183" s="11" t="s">
        <v>802</v>
      </c>
      <c r="L183" s="11"/>
      <c r="M183" s="13" t="s">
        <v>109</v>
      </c>
      <c r="N183" s="13" t="s">
        <v>110</v>
      </c>
      <c r="O183" s="11"/>
    </row>
    <row r="184" spans="1:15" ht="48" hidden="1" customHeight="1">
      <c r="A184" s="13" t="s">
        <v>803</v>
      </c>
      <c r="B184" s="11" t="s">
        <v>556</v>
      </c>
      <c r="C184" s="11" t="s">
        <v>762</v>
      </c>
      <c r="D184" s="11" t="s">
        <v>804</v>
      </c>
      <c r="E184" s="14" t="s">
        <v>24</v>
      </c>
      <c r="F184" s="13" t="s">
        <v>92</v>
      </c>
      <c r="G184" s="11" t="s">
        <v>559</v>
      </c>
      <c r="H184" s="11" t="s">
        <v>804</v>
      </c>
      <c r="I184" s="11" t="s">
        <v>805</v>
      </c>
      <c r="J184" s="15" t="s">
        <v>107</v>
      </c>
      <c r="K184" s="11" t="s">
        <v>806</v>
      </c>
      <c r="L184" s="11"/>
      <c r="M184" s="13" t="s">
        <v>109</v>
      </c>
      <c r="N184" s="13" t="s">
        <v>110</v>
      </c>
      <c r="O184" s="11"/>
    </row>
    <row r="185" spans="1:15" ht="48" customHeight="1">
      <c r="A185" s="13" t="s">
        <v>807</v>
      </c>
      <c r="B185" s="11" t="s">
        <v>556</v>
      </c>
      <c r="C185" s="11" t="s">
        <v>762</v>
      </c>
      <c r="D185" s="11" t="s">
        <v>808</v>
      </c>
      <c r="E185" s="14" t="s">
        <v>24</v>
      </c>
      <c r="F185" s="13" t="s">
        <v>92</v>
      </c>
      <c r="G185" s="11" t="s">
        <v>559</v>
      </c>
      <c r="H185" s="11" t="s">
        <v>808</v>
      </c>
      <c r="I185" s="11" t="s">
        <v>809</v>
      </c>
      <c r="J185" s="16" t="s">
        <v>117</v>
      </c>
      <c r="K185" s="11" t="s">
        <v>810</v>
      </c>
      <c r="L185" s="11"/>
      <c r="M185" s="13" t="s">
        <v>109</v>
      </c>
      <c r="N185" s="13" t="s">
        <v>110</v>
      </c>
      <c r="O185" s="11"/>
    </row>
    <row r="186" spans="1:15" ht="48" customHeight="1">
      <c r="A186" s="13" t="s">
        <v>811</v>
      </c>
      <c r="B186" s="11" t="s">
        <v>556</v>
      </c>
      <c r="C186" s="11" t="s">
        <v>762</v>
      </c>
      <c r="D186" s="11" t="s">
        <v>812</v>
      </c>
      <c r="E186" s="14" t="s">
        <v>24</v>
      </c>
      <c r="F186" s="13" t="s">
        <v>92</v>
      </c>
      <c r="G186" s="11" t="s">
        <v>559</v>
      </c>
      <c r="H186" s="11" t="s">
        <v>812</v>
      </c>
      <c r="I186" s="11" t="s">
        <v>813</v>
      </c>
      <c r="J186" s="13" t="s">
        <v>180</v>
      </c>
      <c r="K186" s="11"/>
      <c r="L186" s="11"/>
      <c r="M186" s="13"/>
      <c r="N186" s="13"/>
      <c r="O186" s="11" t="s">
        <v>814</v>
      </c>
    </row>
    <row r="187" spans="1:15" ht="48" customHeight="1">
      <c r="A187" s="13" t="s">
        <v>815</v>
      </c>
      <c r="B187" s="11" t="s">
        <v>556</v>
      </c>
      <c r="C187" s="11" t="s">
        <v>762</v>
      </c>
      <c r="D187" s="11" t="s">
        <v>816</v>
      </c>
      <c r="E187" s="14" t="s">
        <v>24</v>
      </c>
      <c r="F187" s="13" t="s">
        <v>92</v>
      </c>
      <c r="G187" s="11" t="s">
        <v>559</v>
      </c>
      <c r="H187" s="11" t="s">
        <v>816</v>
      </c>
      <c r="I187" s="11" t="s">
        <v>817</v>
      </c>
      <c r="J187" s="13" t="s">
        <v>180</v>
      </c>
      <c r="K187" s="11"/>
      <c r="L187" s="11"/>
      <c r="M187" s="13"/>
      <c r="N187" s="13"/>
      <c r="O187" s="11" t="s">
        <v>818</v>
      </c>
    </row>
    <row r="188" spans="1:15" ht="48" customHeight="1">
      <c r="A188" s="13" t="s">
        <v>819</v>
      </c>
      <c r="B188" s="11" t="s">
        <v>556</v>
      </c>
      <c r="C188" s="11" t="s">
        <v>820</v>
      </c>
      <c r="D188" s="11" t="s">
        <v>821</v>
      </c>
      <c r="E188" s="14" t="s">
        <v>24</v>
      </c>
      <c r="F188" s="13" t="s">
        <v>92</v>
      </c>
      <c r="G188" s="11" t="s">
        <v>559</v>
      </c>
      <c r="H188" s="11" t="s">
        <v>821</v>
      </c>
      <c r="I188" s="11" t="s">
        <v>822</v>
      </c>
      <c r="J188" s="16" t="s">
        <v>117</v>
      </c>
      <c r="K188" s="11" t="s">
        <v>823</v>
      </c>
      <c r="L188" s="11"/>
      <c r="M188" s="13" t="s">
        <v>109</v>
      </c>
      <c r="N188" s="13" t="s">
        <v>110</v>
      </c>
      <c r="O188" s="11"/>
    </row>
    <row r="189" spans="1:15" ht="48" customHeight="1">
      <c r="A189" s="13" t="s">
        <v>824</v>
      </c>
      <c r="B189" s="11" t="s">
        <v>556</v>
      </c>
      <c r="C189" s="11" t="s">
        <v>820</v>
      </c>
      <c r="D189" s="11" t="s">
        <v>825</v>
      </c>
      <c r="E189" s="14" t="s">
        <v>24</v>
      </c>
      <c r="F189" s="13" t="s">
        <v>92</v>
      </c>
      <c r="G189" s="11" t="s">
        <v>559</v>
      </c>
      <c r="H189" s="11" t="s">
        <v>825</v>
      </c>
      <c r="I189" s="11" t="s">
        <v>826</v>
      </c>
      <c r="J189" s="16" t="s">
        <v>117</v>
      </c>
      <c r="K189" s="11" t="s">
        <v>827</v>
      </c>
      <c r="L189" s="11"/>
      <c r="M189" s="13" t="s">
        <v>109</v>
      </c>
      <c r="N189" s="13" t="s">
        <v>110</v>
      </c>
      <c r="O189" s="11"/>
    </row>
    <row r="190" spans="1:15" ht="48" customHeight="1">
      <c r="A190" s="13" t="s">
        <v>828</v>
      </c>
      <c r="B190" s="11" t="s">
        <v>556</v>
      </c>
      <c r="C190" s="11" t="s">
        <v>820</v>
      </c>
      <c r="D190" s="11" t="s">
        <v>829</v>
      </c>
      <c r="E190" s="14" t="s">
        <v>24</v>
      </c>
      <c r="F190" s="13" t="s">
        <v>92</v>
      </c>
      <c r="G190" s="11" t="s">
        <v>559</v>
      </c>
      <c r="H190" s="11" t="s">
        <v>829</v>
      </c>
      <c r="I190" s="11" t="s">
        <v>830</v>
      </c>
      <c r="J190" s="16" t="s">
        <v>117</v>
      </c>
      <c r="K190" s="11"/>
      <c r="L190" s="11"/>
      <c r="M190" s="13" t="s">
        <v>109</v>
      </c>
      <c r="N190" s="13" t="s">
        <v>110</v>
      </c>
      <c r="O190" s="11"/>
    </row>
    <row r="191" spans="1:15" ht="48" customHeight="1">
      <c r="A191" s="13" t="s">
        <v>831</v>
      </c>
      <c r="B191" s="11" t="s">
        <v>556</v>
      </c>
      <c r="C191" s="11" t="s">
        <v>820</v>
      </c>
      <c r="D191" s="11" t="s">
        <v>832</v>
      </c>
      <c r="E191" s="14" t="s">
        <v>24</v>
      </c>
      <c r="F191" s="13" t="s">
        <v>92</v>
      </c>
      <c r="G191" s="11" t="s">
        <v>559</v>
      </c>
      <c r="H191" s="11" t="s">
        <v>832</v>
      </c>
      <c r="I191" s="11" t="s">
        <v>833</v>
      </c>
      <c r="J191" s="16" t="s">
        <v>117</v>
      </c>
      <c r="K191" s="11"/>
      <c r="L191" s="11"/>
      <c r="M191" s="13" t="s">
        <v>109</v>
      </c>
      <c r="N191" s="13" t="s">
        <v>110</v>
      </c>
      <c r="O191" s="11"/>
    </row>
    <row r="192" spans="1:15" ht="48" hidden="1" customHeight="1">
      <c r="A192" s="13" t="s">
        <v>834</v>
      </c>
      <c r="B192" s="11" t="s">
        <v>556</v>
      </c>
      <c r="C192" s="11" t="s">
        <v>820</v>
      </c>
      <c r="D192" s="11" t="s">
        <v>835</v>
      </c>
      <c r="E192" s="14" t="s">
        <v>24</v>
      </c>
      <c r="F192" s="13" t="s">
        <v>92</v>
      </c>
      <c r="G192" s="11" t="s">
        <v>559</v>
      </c>
      <c r="H192" s="11" t="s">
        <v>835</v>
      </c>
      <c r="I192" s="11" t="s">
        <v>836</v>
      </c>
      <c r="J192" s="15" t="s">
        <v>107</v>
      </c>
      <c r="K192" s="11" t="s">
        <v>837</v>
      </c>
      <c r="L192" s="11"/>
      <c r="M192" s="13" t="s">
        <v>109</v>
      </c>
      <c r="N192" s="13" t="s">
        <v>110</v>
      </c>
      <c r="O192" s="11"/>
    </row>
    <row r="193" spans="1:15" ht="48" hidden="1" customHeight="1">
      <c r="A193" s="13" t="s">
        <v>838</v>
      </c>
      <c r="B193" s="11" t="s">
        <v>556</v>
      </c>
      <c r="C193" s="11" t="s">
        <v>839</v>
      </c>
      <c r="D193" s="11" t="s">
        <v>840</v>
      </c>
      <c r="E193" s="14" t="s">
        <v>24</v>
      </c>
      <c r="F193" s="13" t="s">
        <v>92</v>
      </c>
      <c r="G193" s="11" t="s">
        <v>559</v>
      </c>
      <c r="H193" s="11" t="s">
        <v>840</v>
      </c>
      <c r="I193" s="11" t="s">
        <v>841</v>
      </c>
      <c r="J193" s="15" t="s">
        <v>107</v>
      </c>
      <c r="K193" s="11" t="s">
        <v>842</v>
      </c>
      <c r="L193" s="11"/>
      <c r="M193" s="13" t="s">
        <v>109</v>
      </c>
      <c r="N193" s="13" t="s">
        <v>110</v>
      </c>
      <c r="O193" s="11"/>
    </row>
    <row r="194" spans="1:15" ht="48" hidden="1" customHeight="1">
      <c r="A194" s="13" t="s">
        <v>843</v>
      </c>
      <c r="B194" s="11" t="s">
        <v>556</v>
      </c>
      <c r="C194" s="11" t="s">
        <v>839</v>
      </c>
      <c r="D194" s="11" t="s">
        <v>844</v>
      </c>
      <c r="E194" s="14" t="s">
        <v>24</v>
      </c>
      <c r="F194" s="13" t="s">
        <v>92</v>
      </c>
      <c r="G194" s="11" t="s">
        <v>559</v>
      </c>
      <c r="H194" s="11" t="s">
        <v>844</v>
      </c>
      <c r="I194" s="11" t="s">
        <v>845</v>
      </c>
      <c r="J194" s="15" t="s">
        <v>107</v>
      </c>
      <c r="K194" s="11" t="s">
        <v>846</v>
      </c>
      <c r="L194" s="11"/>
      <c r="M194" s="13" t="s">
        <v>109</v>
      </c>
      <c r="N194" s="13" t="s">
        <v>110</v>
      </c>
      <c r="O194" s="11"/>
    </row>
    <row r="195" spans="1:15" ht="48" hidden="1" customHeight="1">
      <c r="A195" s="13" t="s">
        <v>847</v>
      </c>
      <c r="B195" s="11" t="s">
        <v>556</v>
      </c>
      <c r="C195" s="11" t="s">
        <v>839</v>
      </c>
      <c r="D195" s="11" t="s">
        <v>848</v>
      </c>
      <c r="E195" s="14" t="s">
        <v>24</v>
      </c>
      <c r="F195" s="13" t="s">
        <v>92</v>
      </c>
      <c r="G195" s="11" t="s">
        <v>559</v>
      </c>
      <c r="H195" s="11" t="s">
        <v>848</v>
      </c>
      <c r="I195" s="11" t="s">
        <v>849</v>
      </c>
      <c r="J195" s="15" t="s">
        <v>107</v>
      </c>
      <c r="K195" s="11" t="s">
        <v>850</v>
      </c>
      <c r="L195" s="11"/>
      <c r="M195" s="13" t="s">
        <v>109</v>
      </c>
      <c r="N195" s="13" t="s">
        <v>110</v>
      </c>
      <c r="O195" s="11"/>
    </row>
    <row r="196" spans="1:15" ht="48" hidden="1" customHeight="1">
      <c r="A196" s="13" t="s">
        <v>851</v>
      </c>
      <c r="B196" s="11" t="s">
        <v>556</v>
      </c>
      <c r="C196" s="11" t="s">
        <v>839</v>
      </c>
      <c r="D196" s="11" t="s">
        <v>852</v>
      </c>
      <c r="E196" s="14" t="s">
        <v>24</v>
      </c>
      <c r="F196" s="13" t="s">
        <v>92</v>
      </c>
      <c r="G196" s="11" t="s">
        <v>559</v>
      </c>
      <c r="H196" s="11" t="s">
        <v>852</v>
      </c>
      <c r="I196" s="11" t="s">
        <v>853</v>
      </c>
      <c r="J196" s="15" t="s">
        <v>107</v>
      </c>
      <c r="K196" s="11" t="s">
        <v>854</v>
      </c>
      <c r="L196" s="11"/>
      <c r="M196" s="13" t="s">
        <v>109</v>
      </c>
      <c r="N196" s="13" t="s">
        <v>110</v>
      </c>
      <c r="O196" s="11" t="s">
        <v>855</v>
      </c>
    </row>
    <row r="197" spans="1:15" ht="48" hidden="1" customHeight="1">
      <c r="A197" s="13" t="s">
        <v>856</v>
      </c>
      <c r="B197" s="11" t="s">
        <v>556</v>
      </c>
      <c r="C197" s="11" t="s">
        <v>839</v>
      </c>
      <c r="D197" s="11" t="s">
        <v>857</v>
      </c>
      <c r="E197" s="14" t="s">
        <v>24</v>
      </c>
      <c r="F197" s="13" t="s">
        <v>92</v>
      </c>
      <c r="G197" s="11" t="s">
        <v>559</v>
      </c>
      <c r="H197" s="11" t="s">
        <v>857</v>
      </c>
      <c r="I197" s="11" t="s">
        <v>858</v>
      </c>
      <c r="J197" s="15" t="s">
        <v>107</v>
      </c>
      <c r="K197" s="11" t="s">
        <v>859</v>
      </c>
      <c r="L197" s="11"/>
      <c r="M197" s="13" t="s">
        <v>109</v>
      </c>
      <c r="N197" s="13" t="s">
        <v>110</v>
      </c>
      <c r="O197" s="11" t="s">
        <v>72</v>
      </c>
    </row>
    <row r="198" spans="1:15" ht="48" customHeight="1">
      <c r="A198" s="13" t="s">
        <v>860</v>
      </c>
      <c r="B198" s="11" t="s">
        <v>556</v>
      </c>
      <c r="C198" s="11" t="s">
        <v>861</v>
      </c>
      <c r="D198" s="11" t="s">
        <v>862</v>
      </c>
      <c r="E198" s="14" t="s">
        <v>24</v>
      </c>
      <c r="F198" s="13" t="s">
        <v>92</v>
      </c>
      <c r="G198" s="11" t="s">
        <v>559</v>
      </c>
      <c r="H198" s="11" t="s">
        <v>862</v>
      </c>
      <c r="I198" s="11" t="s">
        <v>629</v>
      </c>
      <c r="J198" s="16" t="s">
        <v>117</v>
      </c>
      <c r="K198" s="11" t="s">
        <v>863</v>
      </c>
      <c r="L198" s="11"/>
      <c r="M198" s="13" t="s">
        <v>109</v>
      </c>
      <c r="N198" s="13" t="s">
        <v>110</v>
      </c>
      <c r="O198" s="11"/>
    </row>
    <row r="199" spans="1:15" ht="48" customHeight="1">
      <c r="A199" s="13" t="s">
        <v>864</v>
      </c>
      <c r="B199" s="11" t="s">
        <v>556</v>
      </c>
      <c r="C199" s="11" t="s">
        <v>861</v>
      </c>
      <c r="D199" s="11" t="s">
        <v>865</v>
      </c>
      <c r="E199" s="14" t="s">
        <v>24</v>
      </c>
      <c r="F199" s="13" t="s">
        <v>92</v>
      </c>
      <c r="G199" s="11" t="s">
        <v>559</v>
      </c>
      <c r="H199" s="11" t="s">
        <v>865</v>
      </c>
      <c r="I199" s="11" t="s">
        <v>681</v>
      </c>
      <c r="J199" s="16" t="s">
        <v>117</v>
      </c>
      <c r="K199" s="11"/>
      <c r="L199" s="11"/>
      <c r="M199" s="13" t="s">
        <v>109</v>
      </c>
      <c r="N199" s="13" t="s">
        <v>110</v>
      </c>
      <c r="O199" s="11"/>
    </row>
    <row r="200" spans="1:15" ht="48" customHeight="1">
      <c r="A200" s="13" t="s">
        <v>866</v>
      </c>
      <c r="B200" s="11" t="s">
        <v>556</v>
      </c>
      <c r="C200" s="11" t="s">
        <v>861</v>
      </c>
      <c r="D200" s="11" t="s">
        <v>867</v>
      </c>
      <c r="E200" s="14" t="s">
        <v>24</v>
      </c>
      <c r="F200" s="13" t="s">
        <v>92</v>
      </c>
      <c r="G200" s="11" t="s">
        <v>559</v>
      </c>
      <c r="H200" s="11" t="s">
        <v>867</v>
      </c>
      <c r="I200" s="11" t="s">
        <v>868</v>
      </c>
      <c r="J200" s="16" t="s">
        <v>117</v>
      </c>
      <c r="K200" s="11"/>
      <c r="L200" s="11"/>
      <c r="M200" s="13" t="s">
        <v>109</v>
      </c>
      <c r="N200" s="13" t="s">
        <v>110</v>
      </c>
      <c r="O200" s="11"/>
    </row>
    <row r="201" spans="1:15" ht="48" customHeight="1">
      <c r="A201" s="13" t="s">
        <v>869</v>
      </c>
      <c r="B201" s="11" t="s">
        <v>556</v>
      </c>
      <c r="C201" s="11" t="s">
        <v>861</v>
      </c>
      <c r="D201" s="11" t="s">
        <v>870</v>
      </c>
      <c r="E201" s="14" t="s">
        <v>24</v>
      </c>
      <c r="F201" s="13" t="s">
        <v>92</v>
      </c>
      <c r="G201" s="11" t="s">
        <v>559</v>
      </c>
      <c r="H201" s="11" t="s">
        <v>870</v>
      </c>
      <c r="I201" s="11" t="s">
        <v>871</v>
      </c>
      <c r="J201" s="16" t="s">
        <v>117</v>
      </c>
      <c r="K201" s="11"/>
      <c r="L201" s="11"/>
      <c r="M201" s="13" t="s">
        <v>109</v>
      </c>
      <c r="N201" s="13" t="s">
        <v>110</v>
      </c>
      <c r="O201" s="11"/>
    </row>
    <row r="202" spans="1:15" ht="48" customHeight="1">
      <c r="A202" s="13" t="s">
        <v>872</v>
      </c>
      <c r="B202" s="11" t="s">
        <v>556</v>
      </c>
      <c r="C202" s="11" t="s">
        <v>861</v>
      </c>
      <c r="D202" s="11" t="s">
        <v>873</v>
      </c>
      <c r="E202" s="14" t="s">
        <v>24</v>
      </c>
      <c r="F202" s="13" t="s">
        <v>92</v>
      </c>
      <c r="G202" s="11" t="s">
        <v>559</v>
      </c>
      <c r="H202" s="11" t="s">
        <v>873</v>
      </c>
      <c r="I202" s="11" t="s">
        <v>874</v>
      </c>
      <c r="J202" s="16" t="s">
        <v>117</v>
      </c>
      <c r="K202" s="11"/>
      <c r="L202" s="11"/>
      <c r="M202" s="13" t="s">
        <v>109</v>
      </c>
      <c r="N202" s="13" t="s">
        <v>110</v>
      </c>
      <c r="O202" s="11"/>
    </row>
    <row r="203" spans="1:15" ht="48" customHeight="1">
      <c r="A203" s="13" t="s">
        <v>875</v>
      </c>
      <c r="B203" s="11" t="s">
        <v>556</v>
      </c>
      <c r="C203" s="11" t="s">
        <v>876</v>
      </c>
      <c r="D203" s="11" t="s">
        <v>877</v>
      </c>
      <c r="E203" s="14" t="s">
        <v>24</v>
      </c>
      <c r="F203" s="13" t="s">
        <v>92</v>
      </c>
      <c r="G203" s="11" t="s">
        <v>559</v>
      </c>
      <c r="H203" s="11" t="s">
        <v>877</v>
      </c>
      <c r="I203" s="11" t="s">
        <v>878</v>
      </c>
      <c r="J203" s="13" t="s">
        <v>180</v>
      </c>
      <c r="K203" s="11"/>
      <c r="L203" s="11"/>
      <c r="M203" s="13"/>
      <c r="N203" s="13"/>
      <c r="O203" s="11" t="s">
        <v>879</v>
      </c>
    </row>
    <row r="204" spans="1:15" ht="48" customHeight="1">
      <c r="A204" s="13" t="s">
        <v>880</v>
      </c>
      <c r="B204" s="11" t="s">
        <v>556</v>
      </c>
      <c r="C204" s="11" t="s">
        <v>876</v>
      </c>
      <c r="D204" s="11" t="s">
        <v>881</v>
      </c>
      <c r="E204" s="14" t="s">
        <v>24</v>
      </c>
      <c r="F204" s="13" t="s">
        <v>92</v>
      </c>
      <c r="G204" s="11" t="s">
        <v>559</v>
      </c>
      <c r="H204" s="11" t="s">
        <v>881</v>
      </c>
      <c r="I204" s="11" t="s">
        <v>882</v>
      </c>
      <c r="J204" s="13" t="s">
        <v>180</v>
      </c>
      <c r="K204" s="11"/>
      <c r="L204" s="11"/>
      <c r="M204" s="13"/>
      <c r="N204" s="13"/>
      <c r="O204" s="11" t="s">
        <v>883</v>
      </c>
    </row>
    <row r="205" spans="1:15" ht="48" customHeight="1">
      <c r="A205" s="13" t="s">
        <v>884</v>
      </c>
      <c r="B205" s="11" t="s">
        <v>556</v>
      </c>
      <c r="C205" s="11" t="s">
        <v>876</v>
      </c>
      <c r="D205" s="11" t="s">
        <v>885</v>
      </c>
      <c r="E205" s="14" t="s">
        <v>24</v>
      </c>
      <c r="F205" s="13" t="s">
        <v>92</v>
      </c>
      <c r="G205" s="11" t="s">
        <v>559</v>
      </c>
      <c r="H205" s="11" t="s">
        <v>885</v>
      </c>
      <c r="I205" s="11" t="s">
        <v>886</v>
      </c>
      <c r="J205" s="13" t="s">
        <v>180</v>
      </c>
      <c r="K205" s="11"/>
      <c r="L205" s="11"/>
      <c r="M205" s="13"/>
      <c r="N205" s="13"/>
      <c r="O205" s="11" t="s">
        <v>887</v>
      </c>
    </row>
    <row r="206" spans="1:15" ht="48" customHeight="1">
      <c r="A206" s="13" t="s">
        <v>888</v>
      </c>
      <c r="B206" s="11" t="s">
        <v>556</v>
      </c>
      <c r="C206" s="11" t="s">
        <v>876</v>
      </c>
      <c r="D206" s="11" t="s">
        <v>889</v>
      </c>
      <c r="E206" s="14" t="s">
        <v>24</v>
      </c>
      <c r="F206" s="13" t="s">
        <v>92</v>
      </c>
      <c r="G206" s="11" t="s">
        <v>559</v>
      </c>
      <c r="H206" s="11" t="s">
        <v>889</v>
      </c>
      <c r="I206" s="11" t="s">
        <v>890</v>
      </c>
      <c r="J206" s="13" t="s">
        <v>180</v>
      </c>
      <c r="K206" s="11"/>
      <c r="L206" s="11"/>
      <c r="M206" s="13"/>
      <c r="N206" s="13"/>
      <c r="O206" s="11" t="s">
        <v>891</v>
      </c>
    </row>
    <row r="207" spans="1:15" ht="48" customHeight="1">
      <c r="A207" s="13" t="s">
        <v>892</v>
      </c>
      <c r="B207" s="11" t="s">
        <v>556</v>
      </c>
      <c r="C207" s="11" t="s">
        <v>876</v>
      </c>
      <c r="D207" s="11" t="s">
        <v>893</v>
      </c>
      <c r="E207" s="14" t="s">
        <v>24</v>
      </c>
      <c r="F207" s="13" t="s">
        <v>92</v>
      </c>
      <c r="G207" s="11" t="s">
        <v>559</v>
      </c>
      <c r="H207" s="11" t="s">
        <v>893</v>
      </c>
      <c r="I207" s="11" t="s">
        <v>894</v>
      </c>
      <c r="J207" s="13" t="s">
        <v>180</v>
      </c>
      <c r="K207" s="11"/>
      <c r="L207" s="11"/>
      <c r="M207" s="13"/>
      <c r="N207" s="13"/>
      <c r="O207" s="11" t="s">
        <v>895</v>
      </c>
    </row>
    <row r="208" spans="1:15" ht="48" customHeight="1">
      <c r="A208" s="13" t="s">
        <v>896</v>
      </c>
      <c r="B208" s="11" t="s">
        <v>556</v>
      </c>
      <c r="C208" s="11" t="s">
        <v>876</v>
      </c>
      <c r="D208" s="11" t="s">
        <v>897</v>
      </c>
      <c r="E208" s="14" t="s">
        <v>24</v>
      </c>
      <c r="F208" s="13" t="s">
        <v>92</v>
      </c>
      <c r="G208" s="11" t="s">
        <v>559</v>
      </c>
      <c r="H208" s="11" t="s">
        <v>897</v>
      </c>
      <c r="I208" s="11" t="s">
        <v>898</v>
      </c>
      <c r="J208" s="13" t="s">
        <v>180</v>
      </c>
      <c r="K208" s="11"/>
      <c r="L208" s="11"/>
      <c r="M208" s="13"/>
      <c r="N208" s="13"/>
      <c r="O208" s="11" t="s">
        <v>899</v>
      </c>
    </row>
    <row r="209" spans="1:15" ht="48" customHeight="1">
      <c r="A209" s="13" t="s">
        <v>900</v>
      </c>
      <c r="B209" s="11" t="s">
        <v>556</v>
      </c>
      <c r="C209" s="11" t="s">
        <v>876</v>
      </c>
      <c r="D209" s="11" t="s">
        <v>901</v>
      </c>
      <c r="E209" s="14" t="s">
        <v>24</v>
      </c>
      <c r="F209" s="13" t="s">
        <v>92</v>
      </c>
      <c r="G209" s="11" t="s">
        <v>559</v>
      </c>
      <c r="H209" s="11" t="s">
        <v>901</v>
      </c>
      <c r="I209" s="11" t="s">
        <v>902</v>
      </c>
      <c r="J209" s="13" t="s">
        <v>180</v>
      </c>
      <c r="K209" s="11"/>
      <c r="L209" s="11"/>
      <c r="M209" s="13"/>
      <c r="N209" s="13"/>
      <c r="O209" s="11" t="s">
        <v>903</v>
      </c>
    </row>
  </sheetData>
  <autoFilter ref="A1:O209" xr:uid="{00000000-0001-0000-0200-000000000000}">
    <filterColumn colId="9">
      <filters>
        <filter val="失败"/>
        <filter val="跳过"/>
        <filter val="未测"/>
        <filter val="阻塞"/>
      </filters>
    </filterColumn>
  </autoFilter>
  <phoneticPr fontId="7" type="noConversion"/>
  <conditionalFormatting sqref="J2:J209">
    <cfRule type="cellIs" dxfId="7" priority="1" operator="equal">
      <formula>"通过"</formula>
    </cfRule>
    <cfRule type="cellIs" dxfId="6" priority="2" operator="equal">
      <formula>"失败"</formula>
    </cfRule>
    <cfRule type="cellIs" dxfId="5" priority="3" operator="equal">
      <formula>"阻塞"</formula>
    </cfRule>
    <cfRule type="cellIs" dxfId="4" priority="4" operator="equal">
      <formula>"跳过"</formula>
    </cfRule>
  </conditionalFormatting>
  <dataValidations count="1">
    <dataValidation type="list" allowBlank="1" errorTitle="结果" error="请选择列表中的结果" sqref="J2:J209" xr:uid="{00000000-0002-0000-0200-000000000000}">
      <formula1>"通过,失败,阻塞,跳过,未测"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baseColWidth="10" defaultColWidth="8.83203125" defaultRowHeight="14"/>
  <cols>
    <col min="1" max="1" width="12" customWidth="1"/>
    <col min="2" max="2" width="14" customWidth="1"/>
    <col min="3" max="3" width="56" customWidth="1"/>
    <col min="4" max="4" width="40" customWidth="1"/>
    <col min="5" max="5" width="10" customWidth="1"/>
    <col min="6" max="6" width="28" customWidth="1"/>
    <col min="7" max="7" width="18" customWidth="1"/>
  </cols>
  <sheetData>
    <row r="1" spans="1:7" ht="23">
      <c r="A1" s="25" t="s">
        <v>904</v>
      </c>
      <c r="B1" s="26"/>
      <c r="C1" s="26"/>
      <c r="D1" s="26"/>
      <c r="E1" s="26"/>
      <c r="F1" s="26"/>
      <c r="G1" s="26"/>
    </row>
    <row r="2" spans="1:7">
      <c r="A2" t="s">
        <v>905</v>
      </c>
    </row>
    <row r="4" spans="1:7" ht="18">
      <c r="A4" s="20" t="s">
        <v>75</v>
      </c>
      <c r="B4" s="20" t="s">
        <v>76</v>
      </c>
      <c r="C4" s="20" t="s">
        <v>906</v>
      </c>
      <c r="D4" s="20" t="s">
        <v>83</v>
      </c>
      <c r="E4" s="20" t="s">
        <v>84</v>
      </c>
      <c r="F4" s="20" t="s">
        <v>85</v>
      </c>
      <c r="G4" s="20" t="s">
        <v>35</v>
      </c>
    </row>
    <row r="5" spans="1:7" ht="42.75" customHeight="1">
      <c r="A5" s="17" t="s">
        <v>907</v>
      </c>
      <c r="B5" s="11" t="s">
        <v>908</v>
      </c>
      <c r="C5" s="11" t="s">
        <v>909</v>
      </c>
      <c r="D5" s="11" t="s">
        <v>909</v>
      </c>
      <c r="E5" s="15" t="s">
        <v>107</v>
      </c>
      <c r="F5" s="11" t="s">
        <v>1159</v>
      </c>
      <c r="G5" s="11"/>
    </row>
    <row r="6" spans="1:7" ht="42.75" customHeight="1">
      <c r="A6" s="17" t="s">
        <v>910</v>
      </c>
      <c r="B6" s="11" t="s">
        <v>908</v>
      </c>
      <c r="C6" s="11" t="s">
        <v>911</v>
      </c>
      <c r="D6" s="11" t="s">
        <v>911</v>
      </c>
      <c r="E6" s="15" t="s">
        <v>107</v>
      </c>
      <c r="F6" s="11" t="s">
        <v>1096</v>
      </c>
      <c r="G6" s="11"/>
    </row>
    <row r="7" spans="1:7" ht="42.75" customHeight="1">
      <c r="A7" s="17" t="s">
        <v>912</v>
      </c>
      <c r="B7" s="11" t="s">
        <v>908</v>
      </c>
      <c r="C7" s="11" t="s">
        <v>913</v>
      </c>
      <c r="D7" s="11" t="s">
        <v>913</v>
      </c>
      <c r="E7" s="15" t="s">
        <v>107</v>
      </c>
      <c r="F7" s="11" t="s">
        <v>1160</v>
      </c>
      <c r="G7" s="11"/>
    </row>
    <row r="8" spans="1:7" ht="42.75" customHeight="1">
      <c r="A8" s="17" t="s">
        <v>914</v>
      </c>
      <c r="B8" s="11" t="s">
        <v>908</v>
      </c>
      <c r="C8" s="11" t="s">
        <v>915</v>
      </c>
      <c r="D8" s="11" t="s">
        <v>915</v>
      </c>
      <c r="E8" s="15" t="s">
        <v>107</v>
      </c>
      <c r="F8" s="11" t="s">
        <v>1161</v>
      </c>
      <c r="G8" s="11"/>
    </row>
    <row r="9" spans="1:7" ht="42.75" customHeight="1">
      <c r="A9" s="17" t="s">
        <v>916</v>
      </c>
      <c r="B9" s="11" t="s">
        <v>908</v>
      </c>
      <c r="C9" s="11" t="s">
        <v>917</v>
      </c>
      <c r="D9" s="11" t="s">
        <v>917</v>
      </c>
      <c r="E9" s="15" t="s">
        <v>107</v>
      </c>
      <c r="F9" s="11" t="s">
        <v>1162</v>
      </c>
      <c r="G9" s="11"/>
    </row>
    <row r="10" spans="1:7" ht="42.75" customHeight="1">
      <c r="A10" s="17" t="s">
        <v>918</v>
      </c>
      <c r="B10" s="11" t="s">
        <v>908</v>
      </c>
      <c r="C10" s="11" t="s">
        <v>919</v>
      </c>
      <c r="D10" s="11" t="s">
        <v>919</v>
      </c>
      <c r="E10" s="15" t="s">
        <v>107</v>
      </c>
      <c r="F10" s="11" t="s">
        <v>1163</v>
      </c>
      <c r="G10" s="11"/>
    </row>
    <row r="11" spans="1:7" ht="42.75" customHeight="1">
      <c r="A11" s="17" t="s">
        <v>920</v>
      </c>
      <c r="B11" s="11" t="s">
        <v>908</v>
      </c>
      <c r="C11" s="11" t="s">
        <v>921</v>
      </c>
      <c r="D11" s="11" t="s">
        <v>921</v>
      </c>
      <c r="E11" s="18" t="s">
        <v>107</v>
      </c>
      <c r="F11" s="11" t="s">
        <v>1164</v>
      </c>
      <c r="G11" s="11"/>
    </row>
    <row r="12" spans="1:7" ht="42.75" customHeight="1">
      <c r="A12" s="17" t="s">
        <v>922</v>
      </c>
      <c r="B12" s="11" t="s">
        <v>908</v>
      </c>
      <c r="C12" s="11" t="s">
        <v>923</v>
      </c>
      <c r="D12" s="11" t="s">
        <v>923</v>
      </c>
      <c r="E12" s="15" t="s">
        <v>107</v>
      </c>
      <c r="F12" s="11" t="s">
        <v>1165</v>
      </c>
      <c r="G12" s="11"/>
    </row>
    <row r="13" spans="1:7" ht="42.75" customHeight="1">
      <c r="A13" s="17" t="s">
        <v>924</v>
      </c>
      <c r="B13" s="11" t="s">
        <v>908</v>
      </c>
      <c r="C13" s="11" t="s">
        <v>925</v>
      </c>
      <c r="D13" s="11" t="s">
        <v>925</v>
      </c>
      <c r="E13" s="15" t="s">
        <v>107</v>
      </c>
      <c r="F13" s="11" t="s">
        <v>1166</v>
      </c>
      <c r="G13" s="11"/>
    </row>
    <row r="14" spans="1:7" ht="42.75" customHeight="1">
      <c r="A14" s="17" t="s">
        <v>926</v>
      </c>
      <c r="B14" s="11" t="s">
        <v>908</v>
      </c>
      <c r="C14" s="11" t="s">
        <v>927</v>
      </c>
      <c r="D14" s="11" t="s">
        <v>927</v>
      </c>
      <c r="E14" s="15" t="s">
        <v>107</v>
      </c>
      <c r="F14" s="11" t="s">
        <v>928</v>
      </c>
      <c r="G14" s="11"/>
    </row>
    <row r="15" spans="1:7" ht="42.75" customHeight="1">
      <c r="A15" s="17" t="s">
        <v>929</v>
      </c>
      <c r="B15" s="11" t="s">
        <v>908</v>
      </c>
      <c r="C15" s="11" t="s">
        <v>930</v>
      </c>
      <c r="D15" s="11" t="s">
        <v>930</v>
      </c>
      <c r="E15" s="15" t="s">
        <v>107</v>
      </c>
      <c r="F15" s="11" t="s">
        <v>931</v>
      </c>
      <c r="G15" s="11"/>
    </row>
    <row r="16" spans="1:7" ht="42.75" customHeight="1">
      <c r="A16" s="17" t="s">
        <v>932</v>
      </c>
      <c r="B16" s="11" t="s">
        <v>908</v>
      </c>
      <c r="C16" s="11" t="s">
        <v>933</v>
      </c>
      <c r="D16" s="11" t="s">
        <v>933</v>
      </c>
      <c r="E16" s="13" t="s">
        <v>180</v>
      </c>
      <c r="F16" s="11"/>
      <c r="G16" s="11" t="s">
        <v>934</v>
      </c>
    </row>
    <row r="17" spans="1:7" ht="42.75" customHeight="1">
      <c r="A17" s="17" t="s">
        <v>935</v>
      </c>
      <c r="B17" s="11" t="s">
        <v>908</v>
      </c>
      <c r="C17" s="11" t="s">
        <v>936</v>
      </c>
      <c r="D17" s="11" t="s">
        <v>936</v>
      </c>
      <c r="E17" s="15" t="s">
        <v>107</v>
      </c>
      <c r="F17" s="11" t="s">
        <v>1167</v>
      </c>
      <c r="G17" s="11"/>
    </row>
    <row r="18" spans="1:7" ht="42.75" customHeight="1">
      <c r="A18" s="17" t="s">
        <v>937</v>
      </c>
      <c r="B18" s="11" t="s">
        <v>908</v>
      </c>
      <c r="C18" s="11" t="s">
        <v>938</v>
      </c>
      <c r="D18" s="11" t="s">
        <v>938</v>
      </c>
      <c r="E18" s="13" t="s">
        <v>107</v>
      </c>
      <c r="F18" s="11" t="s">
        <v>1168</v>
      </c>
      <c r="G18" s="11"/>
    </row>
    <row r="19" spans="1:7" ht="42.75" customHeight="1">
      <c r="A19" s="17" t="s">
        <v>939</v>
      </c>
      <c r="B19" s="11" t="s">
        <v>908</v>
      </c>
      <c r="C19" s="11" t="s">
        <v>940</v>
      </c>
      <c r="D19" s="11" t="s">
        <v>940</v>
      </c>
      <c r="E19" s="13" t="s">
        <v>107</v>
      </c>
      <c r="F19" s="11" t="s">
        <v>1169</v>
      </c>
      <c r="G19" s="11"/>
    </row>
    <row r="20" spans="1:7" ht="42.75" customHeight="1">
      <c r="A20" s="17" t="s">
        <v>941</v>
      </c>
      <c r="B20" s="11" t="s">
        <v>908</v>
      </c>
      <c r="C20" s="11" t="s">
        <v>942</v>
      </c>
      <c r="D20" s="11" t="s">
        <v>942</v>
      </c>
      <c r="E20" s="13" t="s">
        <v>180</v>
      </c>
      <c r="F20" s="11"/>
      <c r="G20" s="11" t="s">
        <v>943</v>
      </c>
    </row>
    <row r="21" spans="1:7" ht="42.75" customHeight="1">
      <c r="A21" s="17" t="s">
        <v>944</v>
      </c>
      <c r="B21" s="11" t="s">
        <v>908</v>
      </c>
      <c r="C21" s="11" t="s">
        <v>945</v>
      </c>
      <c r="D21" s="11" t="s">
        <v>945</v>
      </c>
      <c r="E21" s="13" t="s">
        <v>180</v>
      </c>
      <c r="F21" s="11"/>
      <c r="G21" s="11" t="s">
        <v>946</v>
      </c>
    </row>
    <row r="22" spans="1:7" ht="42.75" customHeight="1">
      <c r="A22" s="17" t="s">
        <v>947</v>
      </c>
      <c r="B22" s="11" t="s">
        <v>908</v>
      </c>
      <c r="C22" s="11" t="s">
        <v>948</v>
      </c>
      <c r="D22" s="11" t="s">
        <v>948</v>
      </c>
      <c r="E22" s="13" t="s">
        <v>107</v>
      </c>
      <c r="F22" s="11" t="s">
        <v>1170</v>
      </c>
      <c r="G22" s="11"/>
    </row>
    <row r="23" spans="1:7" ht="42.75" customHeight="1">
      <c r="A23" s="17" t="s">
        <v>949</v>
      </c>
      <c r="B23" s="11" t="s">
        <v>908</v>
      </c>
      <c r="C23" s="11" t="s">
        <v>950</v>
      </c>
      <c r="D23" s="11" t="s">
        <v>950</v>
      </c>
      <c r="E23" s="13" t="s">
        <v>180</v>
      </c>
      <c r="F23" s="11"/>
      <c r="G23" s="11"/>
    </row>
    <row r="24" spans="1:7" ht="42.75" customHeight="1">
      <c r="A24" s="17" t="s">
        <v>951</v>
      </c>
      <c r="B24" s="11" t="s">
        <v>908</v>
      </c>
      <c r="C24" s="11" t="s">
        <v>952</v>
      </c>
      <c r="D24" s="11" t="s">
        <v>952</v>
      </c>
      <c r="E24" s="13" t="s">
        <v>1136</v>
      </c>
      <c r="F24" s="11" t="s">
        <v>1171</v>
      </c>
      <c r="G24" s="11" t="s">
        <v>1172</v>
      </c>
    </row>
    <row r="25" spans="1:7" ht="42.75" customHeight="1">
      <c r="A25" s="17" t="s">
        <v>953</v>
      </c>
      <c r="B25" s="11" t="s">
        <v>908</v>
      </c>
      <c r="C25" s="11" t="s">
        <v>954</v>
      </c>
      <c r="D25" s="11" t="s">
        <v>954</v>
      </c>
      <c r="E25" s="13" t="s">
        <v>107</v>
      </c>
      <c r="F25" s="11" t="s">
        <v>1173</v>
      </c>
      <c r="G25" s="11"/>
    </row>
    <row r="26" spans="1:7" ht="42.75" customHeight="1">
      <c r="A26" s="17" t="s">
        <v>955</v>
      </c>
      <c r="B26" s="11" t="s">
        <v>908</v>
      </c>
      <c r="C26" s="11" t="s">
        <v>956</v>
      </c>
      <c r="D26" s="11" t="s">
        <v>956</v>
      </c>
      <c r="E26" s="13" t="s">
        <v>1136</v>
      </c>
      <c r="F26" s="11" t="s">
        <v>1174</v>
      </c>
      <c r="G26" s="11" t="s">
        <v>1172</v>
      </c>
    </row>
  </sheetData>
  <mergeCells count="1">
    <mergeCell ref="A1:G1"/>
  </mergeCells>
  <phoneticPr fontId="7" type="noConversion"/>
  <conditionalFormatting sqref="E5:E26">
    <cfRule type="cellIs" dxfId="3" priority="1" operator="equal">
      <formula>"通过"</formula>
    </cfRule>
    <cfRule type="cellIs" dxfId="2" priority="2" operator="equal">
      <formula>"失败"</formula>
    </cfRule>
    <cfRule type="cellIs" dxfId="1" priority="3" operator="equal">
      <formula>"阻塞"</formula>
    </cfRule>
    <cfRule type="cellIs" dxfId="0" priority="4" operator="equal">
      <formula>"跳过"</formula>
    </cfRule>
  </conditionalFormatting>
  <dataValidations count="1">
    <dataValidation type="list" allowBlank="1" errorTitle="结果" error="请选择列表中的结果" sqref="E5:E26" xr:uid="{00000000-0002-0000-0300-000000000000}">
      <formula1>"通过,失败,阻塞,跳过,未测"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workbookViewId="0"/>
  </sheetViews>
  <sheetFormatPr baseColWidth="10" defaultColWidth="8.83203125" defaultRowHeight="14"/>
  <cols>
    <col min="1" max="1" width="12" customWidth="1"/>
    <col min="2" max="2" width="16" customWidth="1"/>
    <col min="3" max="3" width="14" customWidth="1"/>
    <col min="4" max="5" width="28" customWidth="1"/>
    <col min="6" max="6" width="36" customWidth="1"/>
    <col min="7" max="7" width="10" customWidth="1"/>
    <col min="8" max="8" width="20" customWidth="1"/>
    <col min="9" max="9" width="10" customWidth="1"/>
    <col min="10" max="10" width="14" customWidth="1"/>
    <col min="11" max="11" width="12" customWidth="1"/>
    <col min="12" max="12" width="18" customWidth="1"/>
  </cols>
  <sheetData>
    <row r="1" spans="1:12" ht="23">
      <c r="A1" s="1" t="s">
        <v>13</v>
      </c>
    </row>
    <row r="3" spans="1:12" ht="18">
      <c r="A3" s="3" t="s">
        <v>86</v>
      </c>
      <c r="B3" s="3" t="s">
        <v>76</v>
      </c>
      <c r="C3" s="3" t="s">
        <v>957</v>
      </c>
      <c r="D3" s="3" t="s">
        <v>958</v>
      </c>
      <c r="E3" s="3" t="s">
        <v>959</v>
      </c>
      <c r="F3" s="3" t="s">
        <v>960</v>
      </c>
      <c r="G3" s="3" t="s">
        <v>961</v>
      </c>
      <c r="H3" s="3" t="s">
        <v>962</v>
      </c>
      <c r="I3" s="3" t="s">
        <v>963</v>
      </c>
      <c r="J3" s="3" t="s">
        <v>964</v>
      </c>
      <c r="K3" s="3" t="s">
        <v>965</v>
      </c>
      <c r="L3" s="3" t="s">
        <v>35</v>
      </c>
    </row>
    <row r="4" spans="1:12" ht="48" customHeight="1">
      <c r="A4" s="11" t="s">
        <v>549</v>
      </c>
      <c r="B4" s="11" t="s">
        <v>966</v>
      </c>
      <c r="C4" s="11" t="s">
        <v>967</v>
      </c>
      <c r="D4" s="11" t="s">
        <v>968</v>
      </c>
      <c r="E4" s="11" t="s">
        <v>969</v>
      </c>
      <c r="F4" s="11" t="s">
        <v>970</v>
      </c>
      <c r="G4" s="21" t="s">
        <v>24</v>
      </c>
      <c r="H4" s="11"/>
      <c r="I4" s="11" t="s">
        <v>971</v>
      </c>
      <c r="J4" s="11" t="s">
        <v>109</v>
      </c>
      <c r="K4" s="11" t="s">
        <v>110</v>
      </c>
      <c r="L4" s="11" t="s">
        <v>972</v>
      </c>
    </row>
    <row r="5" spans="1:12" ht="48" customHeight="1">
      <c r="A5" s="11" t="s">
        <v>458</v>
      </c>
      <c r="B5" s="11" t="s">
        <v>973</v>
      </c>
      <c r="C5" s="11" t="s">
        <v>974</v>
      </c>
      <c r="D5" s="11" t="s">
        <v>975</v>
      </c>
      <c r="E5" s="11" t="s">
        <v>976</v>
      </c>
      <c r="F5" s="11" t="s">
        <v>977</v>
      </c>
      <c r="G5" s="21" t="s">
        <v>24</v>
      </c>
      <c r="H5" s="11"/>
      <c r="I5" s="22" t="s">
        <v>978</v>
      </c>
      <c r="J5" s="11" t="s">
        <v>109</v>
      </c>
      <c r="K5" s="11" t="s">
        <v>110</v>
      </c>
      <c r="L5" s="11" t="s">
        <v>979</v>
      </c>
    </row>
    <row r="6" spans="1:12" ht="48" customHeight="1">
      <c r="A6" s="11" t="s">
        <v>980</v>
      </c>
      <c r="B6" s="11" t="s">
        <v>981</v>
      </c>
      <c r="C6" s="11" t="s">
        <v>139</v>
      </c>
      <c r="D6" s="11" t="s">
        <v>982</v>
      </c>
      <c r="E6" s="11" t="s">
        <v>983</v>
      </c>
      <c r="F6" s="11" t="s">
        <v>984</v>
      </c>
      <c r="G6" s="23" t="s">
        <v>26</v>
      </c>
      <c r="H6" s="11"/>
      <c r="I6" s="11" t="s">
        <v>971</v>
      </c>
      <c r="J6" s="11" t="s">
        <v>109</v>
      </c>
      <c r="K6" s="11" t="s">
        <v>110</v>
      </c>
      <c r="L6" s="11"/>
    </row>
    <row r="7" spans="1:12" ht="48" customHeight="1">
      <c r="A7" s="11" t="s">
        <v>985</v>
      </c>
      <c r="B7" s="11" t="s">
        <v>986</v>
      </c>
      <c r="C7" s="11" t="s">
        <v>987</v>
      </c>
      <c r="D7" s="11" t="s">
        <v>988</v>
      </c>
      <c r="E7" s="11" t="s">
        <v>989</v>
      </c>
      <c r="F7" s="11" t="s">
        <v>990</v>
      </c>
      <c r="G7" s="23" t="s">
        <v>26</v>
      </c>
      <c r="H7" s="11"/>
      <c r="I7" s="22" t="s">
        <v>978</v>
      </c>
      <c r="J7" s="11" t="s">
        <v>109</v>
      </c>
      <c r="K7" s="11" t="s">
        <v>110</v>
      </c>
      <c r="L7" s="11" t="s">
        <v>991</v>
      </c>
    </row>
    <row r="8" spans="1:12" ht="48" customHeight="1">
      <c r="A8" s="11" t="s">
        <v>705</v>
      </c>
      <c r="B8" s="11" t="s">
        <v>992</v>
      </c>
      <c r="C8" s="11" t="s">
        <v>701</v>
      </c>
      <c r="D8" s="11" t="s">
        <v>993</v>
      </c>
      <c r="E8" s="11" t="s">
        <v>994</v>
      </c>
      <c r="F8" s="11" t="s">
        <v>995</v>
      </c>
      <c r="G8" s="21" t="s">
        <v>24</v>
      </c>
      <c r="H8" s="11"/>
      <c r="I8" s="22" t="s">
        <v>978</v>
      </c>
      <c r="J8" s="11" t="s">
        <v>109</v>
      </c>
      <c r="K8" s="11" t="s">
        <v>110</v>
      </c>
      <c r="L8" s="11" t="s">
        <v>996</v>
      </c>
    </row>
    <row r="9" spans="1:12" ht="48" customHeight="1">
      <c r="A9" s="11" t="s">
        <v>997</v>
      </c>
      <c r="B9" s="11" t="s">
        <v>998</v>
      </c>
      <c r="C9" s="11" t="s">
        <v>987</v>
      </c>
      <c r="D9" s="11" t="s">
        <v>999</v>
      </c>
      <c r="E9" s="11" t="s">
        <v>987</v>
      </c>
      <c r="F9" s="11" t="s">
        <v>1000</v>
      </c>
      <c r="G9" s="11" t="s">
        <v>987</v>
      </c>
      <c r="H9" s="11"/>
      <c r="I9" s="11" t="s">
        <v>1001</v>
      </c>
      <c r="J9" s="11" t="s">
        <v>109</v>
      </c>
      <c r="K9" s="11" t="s">
        <v>110</v>
      </c>
      <c r="L9" s="11" t="s">
        <v>1002</v>
      </c>
    </row>
    <row r="10" spans="1:12" ht="48" customHeight="1">
      <c r="A10" s="11" t="s">
        <v>632</v>
      </c>
      <c r="B10" s="11" t="s">
        <v>1003</v>
      </c>
      <c r="C10" s="11" t="s">
        <v>627</v>
      </c>
      <c r="D10" s="11" t="s">
        <v>1004</v>
      </c>
      <c r="E10" s="11" t="s">
        <v>1005</v>
      </c>
      <c r="F10" s="11" t="s">
        <v>1006</v>
      </c>
      <c r="G10" s="21" t="s">
        <v>24</v>
      </c>
      <c r="H10" s="11"/>
      <c r="I10" s="22" t="s">
        <v>978</v>
      </c>
      <c r="J10" s="11" t="s">
        <v>109</v>
      </c>
      <c r="K10" s="11" t="s">
        <v>110</v>
      </c>
      <c r="L10" s="11" t="s">
        <v>1007</v>
      </c>
    </row>
    <row r="11" spans="1:12" ht="29.2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29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29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29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ht="29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29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29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29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29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29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29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29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29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29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29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29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29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29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29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29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29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29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29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</sheetData>
  <phoneticPr fontId="7" type="noConversion"/>
  <dataValidations count="2">
    <dataValidation type="list" allowBlank="1" sqref="G4:G33" xr:uid="{00000000-0002-0000-0400-000000000000}">
      <formula1>"P0,P1,P2"</formula1>
    </dataValidation>
    <dataValidation type="list" allowBlank="1" sqref="I4:I33" xr:uid="{00000000-0002-0000-0400-000001000000}">
      <formula1>"待修,修复中,已修,延期,不修"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baseColWidth="10" defaultColWidth="8.83203125" defaultRowHeight="14"/>
  <cols>
    <col min="1" max="1" width="18" customWidth="1"/>
    <col min="2" max="2" width="56" customWidth="1"/>
    <col min="3" max="3" width="20" customWidth="1"/>
    <col min="4" max="4" width="18" customWidth="1"/>
  </cols>
  <sheetData>
    <row r="1" spans="1:4" ht="23">
      <c r="A1" s="25" t="s">
        <v>1008</v>
      </c>
      <c r="B1" s="26"/>
    </row>
    <row r="2" spans="1:4">
      <c r="A2" t="s">
        <v>1009</v>
      </c>
    </row>
    <row r="3" spans="1:4" ht="18">
      <c r="A3" s="3" t="s">
        <v>33</v>
      </c>
      <c r="B3" s="3" t="s">
        <v>1010</v>
      </c>
    </row>
    <row r="4" spans="1:4" ht="17">
      <c r="A4" s="21" t="s">
        <v>1011</v>
      </c>
      <c r="B4" s="11" t="s">
        <v>1012</v>
      </c>
    </row>
    <row r="5" spans="1:4" ht="17">
      <c r="A5" s="21" t="s">
        <v>1013</v>
      </c>
      <c r="B5" s="11" t="s">
        <v>1014</v>
      </c>
    </row>
    <row r="6" spans="1:4" ht="17">
      <c r="A6" s="21" t="s">
        <v>345</v>
      </c>
      <c r="B6" s="11" t="s">
        <v>1015</v>
      </c>
    </row>
    <row r="7" spans="1:4" ht="17">
      <c r="A7" s="21" t="s">
        <v>1016</v>
      </c>
      <c r="B7" s="11" t="s">
        <v>1017</v>
      </c>
    </row>
    <row r="8" spans="1:4" ht="17">
      <c r="A8" s="21" t="s">
        <v>1018</v>
      </c>
      <c r="B8" s="11" t="s">
        <v>1019</v>
      </c>
    </row>
    <row r="9" spans="1:4" ht="17">
      <c r="A9" s="21" t="s">
        <v>1020</v>
      </c>
      <c r="B9" s="11" t="s">
        <v>1021</v>
      </c>
    </row>
    <row r="10" spans="1:4" ht="17">
      <c r="A10" s="21" t="s">
        <v>1022</v>
      </c>
      <c r="B10" s="11" t="s">
        <v>1023</v>
      </c>
    </row>
    <row r="11" spans="1:4" ht="17">
      <c r="A11" s="21" t="s">
        <v>1024</v>
      </c>
      <c r="B11" s="11" t="s">
        <v>1025</v>
      </c>
    </row>
    <row r="12" spans="1:4" ht="17">
      <c r="A12" s="21" t="s">
        <v>1026</v>
      </c>
      <c r="B12" s="11" t="s">
        <v>1027</v>
      </c>
    </row>
    <row r="14" spans="1:4" ht="18">
      <c r="A14" s="2" t="s">
        <v>1028</v>
      </c>
    </row>
    <row r="15" spans="1:4" ht="18">
      <c r="A15" s="3" t="s">
        <v>1029</v>
      </c>
      <c r="B15" s="3" t="s">
        <v>33</v>
      </c>
      <c r="C15" s="3" t="s">
        <v>1030</v>
      </c>
      <c r="D15" s="3" t="s">
        <v>1031</v>
      </c>
    </row>
    <row r="16" spans="1:4" ht="16">
      <c r="A16" s="5" t="s">
        <v>24</v>
      </c>
      <c r="B16" s="5" t="s">
        <v>1032</v>
      </c>
      <c r="C16" s="5"/>
      <c r="D16" s="5" t="s">
        <v>1033</v>
      </c>
    </row>
    <row r="17" spans="1:4" ht="16">
      <c r="A17" s="5" t="s">
        <v>26</v>
      </c>
      <c r="B17" s="5" t="s">
        <v>1034</v>
      </c>
      <c r="C17" s="5"/>
      <c r="D17" s="5" t="s">
        <v>1033</v>
      </c>
    </row>
    <row r="18" spans="1:4" ht="16">
      <c r="A18" s="5" t="s">
        <v>1035</v>
      </c>
      <c r="B18" s="5" t="s">
        <v>1036</v>
      </c>
      <c r="C18" s="5"/>
      <c r="D18" s="5" t="s">
        <v>1033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baseColWidth="10" defaultColWidth="8.83203125" defaultRowHeight="14"/>
  <cols>
    <col min="1" max="1" width="28" customWidth="1"/>
    <col min="2" max="2" width="64" customWidth="1"/>
  </cols>
  <sheetData>
    <row r="1" spans="1:2" ht="23">
      <c r="A1" s="1" t="s">
        <v>1037</v>
      </c>
    </row>
    <row r="3" spans="1:2" ht="18">
      <c r="A3" s="3" t="s">
        <v>1038</v>
      </c>
      <c r="B3" s="3" t="s">
        <v>1039</v>
      </c>
    </row>
    <row r="4" spans="1:2" ht="17">
      <c r="A4" s="9" t="s">
        <v>1040</v>
      </c>
      <c r="B4" s="11" t="s">
        <v>1041</v>
      </c>
    </row>
    <row r="5" spans="1:2" ht="17">
      <c r="A5" s="9" t="s">
        <v>1042</v>
      </c>
      <c r="B5" s="11" t="s">
        <v>1043</v>
      </c>
    </row>
    <row r="6" spans="1:2" ht="17">
      <c r="A6" s="9" t="s">
        <v>1044</v>
      </c>
      <c r="B6" s="11" t="s">
        <v>1045</v>
      </c>
    </row>
    <row r="7" spans="1:2" ht="17">
      <c r="A7" s="9" t="s">
        <v>1046</v>
      </c>
      <c r="B7" s="11" t="s">
        <v>1047</v>
      </c>
    </row>
    <row r="8" spans="1:2" ht="17">
      <c r="A8" s="9" t="s">
        <v>1048</v>
      </c>
      <c r="B8" s="11" t="s">
        <v>1049</v>
      </c>
    </row>
    <row r="9" spans="1:2" ht="17">
      <c r="A9" s="9" t="s">
        <v>1050</v>
      </c>
      <c r="B9" s="11" t="s">
        <v>1051</v>
      </c>
    </row>
    <row r="10" spans="1:2" ht="17">
      <c r="A10" s="9" t="s">
        <v>1052</v>
      </c>
      <c r="B10" s="11" t="s">
        <v>1053</v>
      </c>
    </row>
    <row r="11" spans="1:2" ht="17">
      <c r="A11" s="9" t="s">
        <v>1054</v>
      </c>
      <c r="B11" s="11" t="s">
        <v>1055</v>
      </c>
    </row>
    <row r="12" spans="1:2" ht="17">
      <c r="A12" s="9" t="s">
        <v>1056</v>
      </c>
      <c r="B12" s="11" t="s">
        <v>1057</v>
      </c>
    </row>
    <row r="13" spans="1:2" ht="17">
      <c r="A13" s="9" t="s">
        <v>1058</v>
      </c>
      <c r="B13" s="11" t="s">
        <v>1059</v>
      </c>
    </row>
    <row r="14" spans="1:2" ht="17">
      <c r="A14" s="9" t="s">
        <v>1060</v>
      </c>
      <c r="B14" s="11" t="s">
        <v>1061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3"/>
  <sheetViews>
    <sheetView workbookViewId="0"/>
  </sheetViews>
  <sheetFormatPr baseColWidth="10" defaultColWidth="8.83203125" defaultRowHeight="14"/>
  <cols>
    <col min="1" max="1" width="28" customWidth="1"/>
    <col min="2" max="2" width="64" customWidth="1"/>
  </cols>
  <sheetData>
    <row r="1" spans="1:2" ht="23">
      <c r="A1" s="25" t="s">
        <v>1062</v>
      </c>
      <c r="B1" s="26"/>
    </row>
    <row r="3" spans="1:2" ht="18">
      <c r="A3" s="3" t="s">
        <v>33</v>
      </c>
      <c r="B3" s="3" t="s">
        <v>1063</v>
      </c>
    </row>
    <row r="4" spans="1:2" ht="32" customHeight="1">
      <c r="A4" s="9" t="s">
        <v>1064</v>
      </c>
      <c r="B4" s="11" t="s">
        <v>1175</v>
      </c>
    </row>
    <row r="5" spans="1:2" ht="32" customHeight="1">
      <c r="A5" s="9" t="s">
        <v>1065</v>
      </c>
      <c r="B5" s="11" t="s">
        <v>1066</v>
      </c>
    </row>
    <row r="6" spans="1:2" ht="32" customHeight="1">
      <c r="A6" s="9" t="s">
        <v>1067</v>
      </c>
      <c r="B6" s="11" t="s">
        <v>1068</v>
      </c>
    </row>
    <row r="7" spans="1:2" ht="32" customHeight="1">
      <c r="A7" s="9" t="s">
        <v>1069</v>
      </c>
      <c r="B7" s="11" t="s">
        <v>1070</v>
      </c>
    </row>
    <row r="8" spans="1:2" ht="32" customHeight="1">
      <c r="A8" s="9" t="s">
        <v>1071</v>
      </c>
      <c r="B8" s="11" t="s">
        <v>1176</v>
      </c>
    </row>
    <row r="9" spans="1:2" ht="32" customHeight="1">
      <c r="A9" s="9" t="s">
        <v>1072</v>
      </c>
      <c r="B9" s="11" t="s">
        <v>1177</v>
      </c>
    </row>
    <row r="10" spans="1:2" ht="32" customHeight="1">
      <c r="A10" s="9" t="s">
        <v>1073</v>
      </c>
      <c r="B10" s="11">
        <f>COUNTA(测试用例!$A$2:$A$209)-COUNTIF(测试用例!$J$2:$J$209,"未测")</f>
        <v>171</v>
      </c>
    </row>
    <row r="11" spans="1:2" ht="32" customHeight="1">
      <c r="A11" s="9" t="s">
        <v>1074</v>
      </c>
      <c r="B11" s="11">
        <f>COUNTIF(测试用例!$J$2:$J$209,"通过")</f>
        <v>128</v>
      </c>
    </row>
    <row r="12" spans="1:2" ht="32" customHeight="1">
      <c r="A12" s="9" t="s">
        <v>1075</v>
      </c>
      <c r="B12" s="11">
        <f>COUNTIF(测试用例!$J$2:$J$209,"失败")</f>
        <v>2</v>
      </c>
    </row>
    <row r="13" spans="1:2" ht="32" customHeight="1">
      <c r="A13" s="9" t="s">
        <v>1076</v>
      </c>
      <c r="B13" s="11">
        <f>COUNTIF(测试用例!$J$2:$J$209,"阻塞")</f>
        <v>3</v>
      </c>
    </row>
    <row r="14" spans="1:2" ht="32" customHeight="1">
      <c r="A14" s="9" t="s">
        <v>1077</v>
      </c>
      <c r="B14" s="11">
        <f>COUNTIF(测试用例!$J$2:$J$209,"跳过")</f>
        <v>38</v>
      </c>
    </row>
    <row r="15" spans="1:2" ht="32" customHeight="1">
      <c r="A15" s="9" t="s">
        <v>1078</v>
      </c>
      <c r="B15" s="11">
        <f>COUNTIF(测试用例!$J$2:$J$209,"未测")</f>
        <v>37</v>
      </c>
    </row>
    <row r="16" spans="1:2" ht="32" customHeight="1">
      <c r="A16" s="9" t="s">
        <v>1079</v>
      </c>
      <c r="B16" s="11" t="s">
        <v>1080</v>
      </c>
    </row>
    <row r="17" spans="1:2" ht="32" customHeight="1">
      <c r="A17" s="9" t="s">
        <v>1081</v>
      </c>
      <c r="B17" s="11" t="s">
        <v>1178</v>
      </c>
    </row>
    <row r="18" spans="1:2" ht="32" customHeight="1">
      <c r="A18" s="9" t="s">
        <v>36</v>
      </c>
      <c r="B18" s="11" t="s">
        <v>1084</v>
      </c>
    </row>
    <row r="21" spans="1:2" ht="18">
      <c r="A21" s="2" t="s">
        <v>1082</v>
      </c>
    </row>
    <row r="22" spans="1:2">
      <c r="A22" s="28" t="s">
        <v>1083</v>
      </c>
      <c r="B22" s="26"/>
    </row>
    <row r="23" spans="1:2">
      <c r="A23" s="26"/>
      <c r="B23" s="26"/>
    </row>
  </sheetData>
  <mergeCells count="2">
    <mergeCell ref="A22:B23"/>
    <mergeCell ref="A1:B1"/>
  </mergeCells>
  <phoneticPr fontId="7" type="noConversion"/>
  <dataValidations count="1">
    <dataValidation type="list" allowBlank="1" sqref="B4" xr:uid="{00000000-0002-0000-0700-000000000000}">
      <formula1>"通过可发版,有条件通过,不通过"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测试前置</vt:lpstr>
      <vt:lpstr>测试用例</vt:lpstr>
      <vt:lpstr>Smoke冒烟</vt:lpstr>
      <vt:lpstr>缺陷记录</vt:lpstr>
      <vt:lpstr>已知策略</vt:lpstr>
      <vt:lpstr>测试节奏</vt:lpstr>
      <vt:lpstr>测试结论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Shangfei Xiao</cp:lastModifiedBy>
  <dcterms:created xsi:type="dcterms:W3CDTF">2026-07-30T06:54:11Z</dcterms:created>
  <dcterms:modified xsi:type="dcterms:W3CDTF">2026-07-30T06:54:11Z</dcterms:modified>
</cp:coreProperties>
</file>